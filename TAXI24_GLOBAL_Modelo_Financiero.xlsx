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ssumptions" sheetId="2" state="visible" r:id="rId4"/>
    <sheet name="P&amp;L" sheetId="3" state="visible" r:id="rId5"/>
    <sheet name="CashFlow" sheetId="4" state="visible" r:id="rId6"/>
    <sheet name="UnitEconomics" sheetId="5" state="visible" r:id="rId7"/>
    <sheet name="Investmen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<sst xmlns="http://schemas.openxmlformats.org/spreadsheetml/2006/main" count="230" uniqueCount="202">
  <si>
    <t xml:space="preserve">TAXI24 GLOBAL — Dashboard Financiero Ejecutivo</t>
  </si>
  <si>
    <t xml:space="preserve">Resumen del modelo | Escenario Base | Vinculado a todas las hojas</t>
  </si>
  <si>
    <t xml:space="preserve">KPIs PRINCIPALES (Año 3)</t>
  </si>
  <si>
    <t xml:space="preserve">Ingresos Totales Año 3</t>
  </si>
  <si>
    <t xml:space="preserve">EBITDA Año 3</t>
  </si>
  <si>
    <t xml:space="preserve">Utilidad Neta Año 3</t>
  </si>
  <si>
    <t xml:space="preserve">GMV Año 3</t>
  </si>
  <si>
    <t xml:space="preserve">Conductores activos Año 3</t>
  </si>
  <si>
    <t xml:space="preserve">INVERSIÓN REQUERIDA</t>
  </si>
  <si>
    <t xml:space="preserve">Inversión inicial total</t>
  </si>
  <si>
    <t xml:space="preserve">Caja acumulada fin Año 5</t>
  </si>
  <si>
    <t xml:space="preserve">RESUMEN POR AÑO — INGRESOS Y EBITDA</t>
  </si>
  <si>
    <t xml:space="preserve">Métrica</t>
  </si>
  <si>
    <t xml:space="preserve">Ingresos</t>
  </si>
  <si>
    <t xml:space="preserve">EBITDA</t>
  </si>
  <si>
    <t xml:space="preserve">Utilidad Neta</t>
  </si>
  <si>
    <t xml:space="preserve">Caja acumulada</t>
  </si>
  <si>
    <t xml:space="preserve">Cómo usar este modelo:</t>
  </si>
  <si>
    <t xml:space="preserve">1. Ve a la hoja 'Assumptions' y modifica las celdas en AZUL / AMARILLO según tus supuestos.</t>
  </si>
  <si>
    <t xml:space="preserve">2. Todas las demás hojas se actualizan automáticamente mediante fórmulas.</t>
  </si>
  <si>
    <t xml:space="preserve">3. Revisa P&amp;L, CashFlow y UnitEconomics para el detalle.</t>
  </si>
  <si>
    <t xml:space="preserve">4. El escenario es conservador. Puedes crear copias del archivo para escenarios optimista/pesimista.</t>
  </si>
  <si>
    <t xml:space="preserve">TAXI24 GLOBAL — Modelo Financiero Completo</t>
  </si>
  <si>
    <t xml:space="preserve">Fecha de modelo: 2026-10-11 | Escenario Base | Moneda: USD</t>
  </si>
  <si>
    <t xml:space="preserve">Instrucciones: Celdas en AZUL = inputs editables. Celdas en AMARILLO = supuestos clave. Fórmulas en NEGRO. No modificar fórmulas.</t>
  </si>
  <si>
    <t xml:space="preserve">1. SUPUESTOS GENERALES Y ESTRUCTURA</t>
  </si>
  <si>
    <t xml:space="preserve">Parámetro</t>
  </si>
  <si>
    <t xml:space="preserve">Valor</t>
  </si>
  <si>
    <t xml:space="preserve">Notas / Fuente</t>
  </si>
  <si>
    <t xml:space="preserve">Año de inicio</t>
  </si>
  <si>
    <t xml:space="preserve">Año fiscal de lanzamiento</t>
  </si>
  <si>
    <t xml:space="preserve">Moneda del modelo</t>
  </si>
  <si>
    <t xml:space="preserve">USD</t>
  </si>
  <si>
    <t xml:space="preserve">Todas las cifras en dólares americanos</t>
  </si>
  <si>
    <t xml:space="preserve">Horizonte de proyección</t>
  </si>
  <si>
    <t xml:space="preserve">Años</t>
  </si>
  <si>
    <t xml:space="preserve">Tasa de cambio COP/USD (ref)</t>
  </si>
  <si>
    <t xml:space="preserve">Referencia Colombia</t>
  </si>
  <si>
    <t xml:space="preserve">Inflación anual promedio</t>
  </si>
  <si>
    <t xml:space="preserve">Ajuste de costos</t>
  </si>
  <si>
    <t xml:space="preserve">2. MERCADO Y CRECIMIENTO (VOLUMEN)</t>
  </si>
  <si>
    <t xml:space="preserve">Notas</t>
  </si>
  <si>
    <t xml:space="preserve">Ciudades Año 1</t>
  </si>
  <si>
    <t xml:space="preserve">Colombia + Panamá piloto</t>
  </si>
  <si>
    <t xml:space="preserve">Ciudades Año 2</t>
  </si>
  <si>
    <t xml:space="preserve">Ciudades Año 3</t>
  </si>
  <si>
    <t xml:space="preserve">Ciudades Año 4</t>
  </si>
  <si>
    <t xml:space="preserve">Ciudades Año 5</t>
  </si>
  <si>
    <t xml:space="preserve">Incluye expansión UE / México / otros</t>
  </si>
  <si>
    <t xml:space="preserve">Viajes promedio / ciudad / mes - Año 1</t>
  </si>
  <si>
    <t xml:space="preserve">Conservador para arranque</t>
  </si>
  <si>
    <t xml:space="preserve">Crecimiento viajes por ciudad (anual)</t>
  </si>
  <si>
    <t xml:space="preserve">Crecimiento orgánico + densidad</t>
  </si>
  <si>
    <t xml:space="preserve">Factor estacionalidad (promedio)</t>
  </si>
  <si>
    <t xml:space="preserve">Ajuste anual</t>
  </si>
  <si>
    <t xml:space="preserve">3. UNIT ECONOMICS (POR VIAJE)</t>
  </si>
  <si>
    <t xml:space="preserve">Tarifa promedio bruta por viaje (USD)</t>
  </si>
  <si>
    <t xml:space="preserve">Promedio LatAm mixto</t>
  </si>
  <si>
    <t xml:space="preserve">Take rate bruto (comisión)</t>
  </si>
  <si>
    <t xml:space="preserve">Antes de incentivos</t>
  </si>
  <si>
    <t xml:space="preserve">Incentivos / promociones (% GMV)</t>
  </si>
  <si>
    <t xml:space="preserve">Costo de adquisición/retención</t>
  </si>
  <si>
    <t xml:space="preserve">Take rate neto</t>
  </si>
  <si>
    <t xml:space="preserve">Después de incentivos (calculado)</t>
  </si>
  <si>
    <t xml:space="preserve">Costo variable por viaje (maps, pago, SMS)</t>
  </si>
  <si>
    <t xml:space="preserve">USD por viaje</t>
  </si>
  <si>
    <t xml:space="preserve">Contribution margin por viaje</t>
  </si>
  <si>
    <t xml:space="preserve">Calculado: take neto - costo var</t>
  </si>
  <si>
    <t xml:space="preserve">4. CONDUCTORES Y FUERZA LABORAL</t>
  </si>
  <si>
    <t xml:space="preserve">Viajes promedio por conductor / mes</t>
  </si>
  <si>
    <t xml:space="preserve">Part-time + full-time mix</t>
  </si>
  <si>
    <t xml:space="preserve">Costo adquisición conductor (CAC)</t>
  </si>
  <si>
    <t xml:space="preserve">USD por conductor activado</t>
  </si>
  <si>
    <t xml:space="preserve">% churn mensual conductores</t>
  </si>
  <si>
    <t xml:space="preserve">Rotación</t>
  </si>
  <si>
    <t xml:space="preserve">Ingreso neto conductor / viaje</t>
  </si>
  <si>
    <t xml:space="preserve">Después de comisión plataforma</t>
  </si>
  <si>
    <t xml:space="preserve">5. COSTOS OPERATIVOS FIJOS (ANUALES BASE)</t>
  </si>
  <si>
    <t xml:space="preserve">Concepto</t>
  </si>
  <si>
    <t xml:space="preserve">Año 1 (USD)</t>
  </si>
  <si>
    <t xml:space="preserve">Crecimiento anual</t>
  </si>
  <si>
    <t xml:space="preserve">Personal (tech + ops + soporte)</t>
  </si>
  <si>
    <t xml:space="preserve">Infraestructura cloud / servidores</t>
  </si>
  <si>
    <t xml:space="preserve">Marketing &amp; adquisición usuarios</t>
  </si>
  <si>
    <t xml:space="preserve">Legal, compliance, licencias</t>
  </si>
  <si>
    <t xml:space="preserve">Seguros plataforma</t>
  </si>
  <si>
    <t xml:space="preserve">Oficinas / admin / otros</t>
  </si>
  <si>
    <t xml:space="preserve">Contingencia / misceláneos</t>
  </si>
  <si>
    <t xml:space="preserve">6. INVERSIÓN INICIAL Y USO DE FONDOS</t>
  </si>
  <si>
    <t xml:space="preserve">Monto (USD)</t>
  </si>
  <si>
    <t xml:space="preserve">% del total</t>
  </si>
  <si>
    <t xml:space="preserve">Desarrollo tecnología (App + Backend + IA)</t>
  </si>
  <si>
    <t xml:space="preserve">Capital de trabajo operativo (6 meses)</t>
  </si>
  <si>
    <t xml:space="preserve">Adquisición inicial conductores</t>
  </si>
  <si>
    <t xml:space="preserve">Marketing lanzamiento</t>
  </si>
  <si>
    <t xml:space="preserve">Legal, constitución holding, compliance</t>
  </si>
  <si>
    <t xml:space="preserve">Reserva / contingencia</t>
  </si>
  <si>
    <t xml:space="preserve">TOTAL INVERSIÓN INICIAL</t>
  </si>
  <si>
    <t xml:space="preserve">7. OTROS FLUJOS DE INGRESOS</t>
  </si>
  <si>
    <t xml:space="preserve">% del GMV o fijo</t>
  </si>
  <si>
    <t xml:space="preserve">Suscripciones B2B / flotas (% GMV)</t>
  </si>
  <si>
    <t xml:space="preserve">Empresas y flotas</t>
  </si>
  <si>
    <t xml:space="preserve">Servicios empresariales adicionales</t>
  </si>
  <si>
    <t xml:space="preserve">Reportes, IA, gestión</t>
  </si>
  <si>
    <t xml:space="preserve">Integraciones / partnerships</t>
  </si>
  <si>
    <t xml:space="preserve">APIs, white-label parcial</t>
  </si>
  <si>
    <t xml:space="preserve">TAXI24 GLOBAL — Estado de Resultados (P&amp;L) Proyectado</t>
  </si>
  <si>
    <t xml:space="preserve">Cifras en USD | Escenario Base | Vinculado a Assumptions</t>
  </si>
  <si>
    <t xml:space="preserve">VOLUMEN</t>
  </si>
  <si>
    <t xml:space="preserve">Ciudades activas</t>
  </si>
  <si>
    <t xml:space="preserve">Viajes anuales (miles)</t>
  </si>
  <si>
    <t xml:space="preserve">GMV (Gross Merchandise Value)</t>
  </si>
  <si>
    <t xml:space="preserve">INGRESOS</t>
  </si>
  <si>
    <t xml:space="preserve">Comisiones netas (take rate neto)</t>
  </si>
  <si>
    <t xml:space="preserve">Suscripciones B2B / flotas</t>
  </si>
  <si>
    <t xml:space="preserve">Servicios empresariales + integraciones</t>
  </si>
  <si>
    <t xml:space="preserve">TOTAL INGRESOS</t>
  </si>
  <si>
    <t xml:space="preserve">COSTOS VARIABLES</t>
  </si>
  <si>
    <t xml:space="preserve">Costos variables por viaje (maps, pagos, SMS)</t>
  </si>
  <si>
    <t xml:space="preserve">Contribution Margin</t>
  </si>
  <si>
    <t xml:space="preserve">Contribution Margin %</t>
  </si>
  <si>
    <t xml:space="preserve">GASTOS OPERATIVOS (OpEx)</t>
  </si>
  <si>
    <t xml:space="preserve">Infraestructura cloud</t>
  </si>
  <si>
    <t xml:space="preserve">Marketing &amp; adquisición</t>
  </si>
  <si>
    <t xml:space="preserve">Seguros</t>
  </si>
  <si>
    <t xml:space="preserve">Oficinas / admin</t>
  </si>
  <si>
    <t xml:space="preserve">Contingencia</t>
  </si>
  <si>
    <t xml:space="preserve">TOTAL OpEx</t>
  </si>
  <si>
    <t xml:space="preserve">EBITDA Margin %</t>
  </si>
  <si>
    <t xml:space="preserve">Depreciación &amp; Amortización (simplificada)</t>
  </si>
  <si>
    <t xml:space="preserve">EBIT</t>
  </si>
  <si>
    <t xml:space="preserve">Impuestos (tasa efectiva asumida)</t>
  </si>
  <si>
    <t xml:space="preserve">Impuesto sobre la renta</t>
  </si>
  <si>
    <t xml:space="preserve">UTILIDAD NETA</t>
  </si>
  <si>
    <t xml:space="preserve">Net Margin %</t>
  </si>
  <si>
    <t xml:space="preserve">IMPACTO EN CONDUCTORES</t>
  </si>
  <si>
    <t xml:space="preserve">Conductores activos (promedio)</t>
  </si>
  <si>
    <t xml:space="preserve">Ingresos brutos conductores (estimado)</t>
  </si>
  <si>
    <t xml:space="preserve">TAXI24 GLOBAL — Flujo de Caja Proyectado</t>
  </si>
  <si>
    <t xml:space="preserve">Cifras en USD | Escenario Base</t>
  </si>
  <si>
    <t xml:space="preserve">(+) Depreciación &amp; Amortización</t>
  </si>
  <si>
    <t xml:space="preserve">Cash Flow Operativo</t>
  </si>
  <si>
    <t xml:space="preserve">INVERSIONES (CapEx)</t>
  </si>
  <si>
    <t xml:space="preserve">Inversión inicial / CapEx tecnológico</t>
  </si>
  <si>
    <t xml:space="preserve">Otras inversiones / expansión</t>
  </si>
  <si>
    <t xml:space="preserve">Total CapEx</t>
  </si>
  <si>
    <t xml:space="preserve">FINANCIAMIENTO</t>
  </si>
  <si>
    <t xml:space="preserve">Aporte de capital (equity)</t>
  </si>
  <si>
    <t xml:space="preserve">Deuda neta (nueva - amortización)</t>
  </si>
  <si>
    <t xml:space="preserve">Total Financiamiento</t>
  </si>
  <si>
    <t xml:space="preserve">FLUJO DE CAJA NETO DEL PERÍODO</t>
  </si>
  <si>
    <t xml:space="preserve">Caja acumulada (fin de año)</t>
  </si>
  <si>
    <t xml:space="preserve">TAXI24 GLOBAL — Unit Economics &amp; KPIs</t>
  </si>
  <si>
    <t xml:space="preserve">MÉTRICAS POR VIAJE</t>
  </si>
  <si>
    <t xml:space="preserve">Fórmula / Nota</t>
  </si>
  <si>
    <t xml:space="preserve">Tarifa promedio bruta</t>
  </si>
  <si>
    <t xml:space="preserve">Input Assumptions</t>
  </si>
  <si>
    <t xml:space="preserve">Comisión bruta (take rate)</t>
  </si>
  <si>
    <t xml:space="preserve">Input</t>
  </si>
  <si>
    <t xml:space="preserve">Incentivos % GMV</t>
  </si>
  <si>
    <t xml:space="preserve">Después de incentivos</t>
  </si>
  <si>
    <t xml:space="preserve">Ingreso plataforma por viaje</t>
  </si>
  <si>
    <t xml:space="preserve">Tarifa × take rate neto</t>
  </si>
  <si>
    <t xml:space="preserve">Costo variable por viaje</t>
  </si>
  <si>
    <t xml:space="preserve">Maps, pagos, SMS</t>
  </si>
  <si>
    <t xml:space="preserve">Contribution Margin por viaje</t>
  </si>
  <si>
    <t xml:space="preserve">Ingreso neto - costo variable</t>
  </si>
  <si>
    <t xml:space="preserve">CM %</t>
  </si>
  <si>
    <t xml:space="preserve">Margen de contribución</t>
  </si>
  <si>
    <t xml:space="preserve">MÉTRICAS POR CONDUCTOR</t>
  </si>
  <si>
    <t xml:space="preserve">Viajes / conductor / mes</t>
  </si>
  <si>
    <t xml:space="preserve">Ingreso conductor / viaje</t>
  </si>
  <si>
    <t xml:space="preserve">Ingreso conductor / mes</t>
  </si>
  <si>
    <t xml:space="preserve">CAC Conductor</t>
  </si>
  <si>
    <t xml:space="preserve">Payback CAC (meses)</t>
  </si>
  <si>
    <t xml:space="preserve">KPIs CLAVE DE NEGOCIO</t>
  </si>
  <si>
    <t xml:space="preserve">LTV / CAC (aproximado, asumir 18 meses vida)</t>
  </si>
  <si>
    <t xml:space="preserve">TAXI24 GLOBAL — Resumen de Inversión y Uso de Fondos</t>
  </si>
  <si>
    <t xml:space="preserve">USO DE FONDOS (INVERSIÓN INICIAL)</t>
  </si>
  <si>
    <t xml:space="preserve">Monto USD</t>
  </si>
  <si>
    <t xml:space="preserve">%</t>
  </si>
  <si>
    <t xml:space="preserve">Descripción</t>
  </si>
  <si>
    <t xml:space="preserve">Propiedad de Estonia OÜ</t>
  </si>
  <si>
    <t xml:space="preserve">Personal, cloud, ops iniciales</t>
  </si>
  <si>
    <t xml:space="preserve">Bonos, onboarding, incentivos</t>
  </si>
  <si>
    <t xml:space="preserve">Usuarios + awareness</t>
  </si>
  <si>
    <t xml:space="preserve">Estonia + Panamá + Colombia</t>
  </si>
  <si>
    <t xml:space="preserve">Buffer de seguridad</t>
  </si>
  <si>
    <t xml:space="preserve">TOTAL</t>
  </si>
  <si>
    <t xml:space="preserve">ESTRUCTURA DE CAPITAL RECOMENDADA</t>
  </si>
  <si>
    <t xml:space="preserve">Ronda</t>
  </si>
  <si>
    <t xml:space="preserve">Monto objetivo</t>
  </si>
  <si>
    <t xml:space="preserve">Uso principal</t>
  </si>
  <si>
    <t xml:space="preserve">Pre-Seed / Seed</t>
  </si>
  <si>
    <t xml:space="preserve">MVP + piloto Colombia/Panamá + holding setup</t>
  </si>
  <si>
    <t xml:space="preserve">Series A (Año 2-3)</t>
  </si>
  <si>
    <t xml:space="preserve">Expansión multi-país + equipo + marketing</t>
  </si>
  <si>
    <t xml:space="preserve">NOTAS IMPORTANTES</t>
  </si>
  <si>
    <t xml:space="preserve">1. El holding en Estonia permite reinvertir utilidades sin impuesto corporativo hasta distribución.</t>
  </si>
  <si>
    <t xml:space="preserve">2. Panamá actúa como holding regional con 0% sobre ingresos de fuente extranjera.</t>
  </si>
  <si>
    <t xml:space="preserve">3. Los números son estimaciones conservadoras. Ajustar supuestos en la hoja Assumptions.</t>
  </si>
  <si>
    <t xml:space="preserve">4. Se recomienda validar unit economics en piloto antes de escalar capital.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</si>
</sst>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#,##0"/>
    <numFmt numFmtId="167" formatCode="0.0%"/>
    <numFmt numFmtId="168" formatCode="\$#,##0.00;&quot;($&quot;#,##0.00\);\-"/>
    <numFmt numFmtId="169" formatCode="#,##0.0"/>
    <numFmt numFmtId="170" formatCode="0.0"/>
    <numFmt numFmtId="171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365D"/>
      <name val="Arial"/>
      <family val="0"/>
      <charset val="1"/>
    </font>
    <font>
      <i val="true"/>
      <sz val="10"/>
      <color rgb="FF71809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A365D"/>
      <name val="Arial"/>
      <family val="0"/>
      <charset val="1"/>
    </font>
    <font>
      <sz val="9"/>
      <color rgb="FFC5303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B6CB0"/>
        <bgColor rgb="FF2C7A7B"/>
      </patternFill>
    </fill>
    <fill>
      <patternFill patternType="solid">
        <fgColor rgb="FFF0FFF4"/>
        <bgColor rgb="FFEBF8FF"/>
      </patternFill>
    </fill>
    <fill>
      <patternFill patternType="solid">
        <fgColor rgb="FFFEFCBF"/>
        <bgColor rgb="FFFFFAF0"/>
      </patternFill>
    </fill>
    <fill>
      <patternFill patternType="solid">
        <fgColor rgb="FFEDF2F7"/>
        <bgColor rgb="FFEBF8FF"/>
      </patternFill>
    </fill>
    <fill>
      <patternFill patternType="solid">
        <fgColor rgb="FF2D3748"/>
        <bgColor rgb="FF1A365D"/>
      </patternFill>
    </fill>
    <fill>
      <patternFill patternType="solid">
        <fgColor rgb="FF2C7A7B"/>
        <bgColor rgb="FF2B6CB0"/>
      </patternFill>
    </fill>
    <fill>
      <patternFill patternType="solid">
        <fgColor rgb="FFEBF8FF"/>
        <bgColor rgb="FFEDF2F7"/>
      </patternFill>
    </fill>
    <fill>
      <patternFill patternType="solid">
        <fgColor rgb="FFFFFAF0"/>
        <bgColor rgb="FFFFFFFF"/>
      </patternFill>
    </fill>
    <fill>
      <patternFill patternType="solid">
        <fgColor rgb="FF276749"/>
        <bgColor rgb="FF2C7A7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C7A7B"/>
      <rgbColor rgb="FFC0C0C0"/>
      <rgbColor rgb="FF718096"/>
      <rgbColor rgb="FF9999FF"/>
      <rgbColor rgb="FF993366"/>
      <rgbColor rgb="FFFEFCBF"/>
      <rgbColor rgb="FFEBF8FF"/>
      <rgbColor rgb="FF660066"/>
      <rgbColor rgb="FFFF8080"/>
      <rgbColor rgb="FF2B6CB0"/>
      <rgbColor rgb="FFCCCCFF"/>
      <rgbColor rgb="FF000080"/>
      <rgbColor rgb="FFFF00FF"/>
      <rgbColor rgb="FFFFFF00"/>
      <rgbColor rgb="FF00FFFF"/>
      <rgbColor rgb="FF800080"/>
      <rgbColor rgb="FF800000"/>
      <rgbColor rgb="FF276749"/>
      <rgbColor rgb="FF0000FF"/>
      <rgbColor rgb="FF00CCFF"/>
      <rgbColor rgb="FFF0FFF4"/>
      <rgbColor rgb="FFEDF2F7"/>
      <rgbColor rgb="FFFFFA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65D"/>
      <rgbColor rgb="FF339966"/>
      <rgbColor rgb="FF003300"/>
      <rgbColor rgb="FF333300"/>
      <rgbColor rgb="FFC5303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6" min="2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0" t="s">
        <v>3</v>
      </c>
      <c r="B5" s="4" t="n">
        <f aca="false">'P&amp;L'!D14</f>
        <v>13644384</v>
      </c>
    </row>
    <row r="6" customFormat="false" ht="15" hidden="false" customHeight="false" outlineLevel="0" collapsed="false">
      <c r="A6" s="0" t="s">
        <v>4</v>
      </c>
      <c r="B6" s="5" t="n">
        <f aca="false">'P&amp;L'!D31</f>
        <v>9354761.5</v>
      </c>
    </row>
    <row r="7" customFormat="false" ht="15" hidden="false" customHeight="false" outlineLevel="0" collapsed="false">
      <c r="A7" s="0" t="s">
        <v>5</v>
      </c>
      <c r="B7" s="5" t="n">
        <f aca="false">'P&amp;L'!D40</f>
        <v>8365285.35</v>
      </c>
    </row>
    <row r="8" customFormat="false" ht="15" hidden="false" customHeight="false" outlineLevel="0" collapsed="false">
      <c r="A8" s="0" t="s">
        <v>6</v>
      </c>
      <c r="B8" s="5" t="n">
        <f aca="false">'P&amp;L'!D8</f>
        <v>65598000</v>
      </c>
    </row>
    <row r="9" customFormat="false" ht="15" hidden="false" customHeight="false" outlineLevel="0" collapsed="false">
      <c r="A9" s="0" t="s">
        <v>7</v>
      </c>
      <c r="B9" s="6" t="n">
        <f aca="false">'P&amp;L'!D44</f>
        <v>126150</v>
      </c>
    </row>
    <row r="11" customFormat="false" ht="15" hidden="false" customHeight="false" outlineLevel="0" collapsed="false">
      <c r="A11" s="3" t="s">
        <v>8</v>
      </c>
      <c r="B11" s="3"/>
      <c r="C11" s="3"/>
    </row>
    <row r="12" customFormat="false" ht="15" hidden="false" customHeight="false" outlineLevel="0" collapsed="false">
      <c r="A12" s="0" t="s">
        <v>9</v>
      </c>
      <c r="B12" s="7" t="n">
        <f aca="false">Assumptions!B62</f>
        <v>800000</v>
      </c>
    </row>
    <row r="13" customFormat="false" ht="15" hidden="false" customHeight="false" outlineLevel="0" collapsed="false">
      <c r="A13" s="0" t="s">
        <v>10</v>
      </c>
      <c r="B13" s="5" t="n">
        <f aca="false">CashFlow!F21</f>
        <v>69949316.91146</v>
      </c>
    </row>
    <row r="15" customFormat="false" ht="15" hidden="false" customHeight="false" outlineLevel="0" collapsed="false">
      <c r="A15" s="3" t="s">
        <v>11</v>
      </c>
      <c r="B15" s="3"/>
      <c r="C15" s="3"/>
      <c r="D15" s="3"/>
      <c r="E15" s="3"/>
      <c r="F15" s="3"/>
    </row>
    <row r="16" customFormat="false" ht="15" hidden="false" customHeight="false" outlineLevel="0" collapsed="false">
      <c r="A16" s="8" t="s">
        <v>12</v>
      </c>
      <c r="B16" s="8" t="n">
        <v>2027</v>
      </c>
      <c r="C16" s="8" t="n">
        <v>2028</v>
      </c>
      <c r="D16" s="8" t="n">
        <v>2029</v>
      </c>
      <c r="E16" s="8" t="n">
        <v>2030</v>
      </c>
      <c r="F16" s="8" t="n">
        <v>2031</v>
      </c>
    </row>
    <row r="17" customFormat="false" ht="15" hidden="false" customHeight="false" outlineLevel="0" collapsed="false">
      <c r="A17" s="0" t="s">
        <v>13</v>
      </c>
      <c r="B17" s="5" t="n">
        <f aca="false">'P&amp;L'!B14</f>
        <v>1297920</v>
      </c>
      <c r="C17" s="5" t="n">
        <f aca="false">'P&amp;L'!C14</f>
        <v>4704960</v>
      </c>
      <c r="D17" s="5" t="n">
        <f aca="false">'P&amp;L'!D14</f>
        <v>13644384</v>
      </c>
      <c r="E17" s="5" t="n">
        <f aca="false">'P&amp;L'!E14</f>
        <v>29676535.2</v>
      </c>
      <c r="F17" s="5" t="n">
        <f aca="false">'P&amp;L'!F14</f>
        <v>63112098.192</v>
      </c>
    </row>
    <row r="18" customFormat="false" ht="15" hidden="false" customHeight="false" outlineLevel="0" collapsed="false">
      <c r="A18" s="0" t="s">
        <v>14</v>
      </c>
      <c r="B18" s="5" t="n">
        <f aca="false">'P&amp;L'!B31</f>
        <v>505920</v>
      </c>
      <c r="C18" s="5" t="n">
        <f aca="false">'P&amp;L'!C31</f>
        <v>2900810</v>
      </c>
      <c r="D18" s="5" t="n">
        <f aca="false">'P&amp;L'!D31</f>
        <v>9354761.5</v>
      </c>
      <c r="E18" s="5" t="n">
        <f aca="false">'P&amp;L'!E31</f>
        <v>21010519.325</v>
      </c>
      <c r="F18" s="5" t="n">
        <f aca="false">'P&amp;L'!F31</f>
        <v>45491256.08575</v>
      </c>
    </row>
    <row r="19" customFormat="false" ht="15" hidden="false" customHeight="false" outlineLevel="0" collapsed="false">
      <c r="A19" s="0" t="s">
        <v>15</v>
      </c>
      <c r="B19" s="5" t="n">
        <f aca="false">'P&amp;L'!B40</f>
        <v>433124</v>
      </c>
      <c r="C19" s="5" t="n">
        <f aca="false">'P&amp;L'!C40</f>
        <v>2618145.2</v>
      </c>
      <c r="D19" s="5" t="n">
        <f aca="false">'P&amp;L'!D40</f>
        <v>8365285.35</v>
      </c>
      <c r="E19" s="5" t="n">
        <f aca="false">'P&amp;L'!E40</f>
        <v>18432057.006</v>
      </c>
      <c r="F19" s="5" t="n">
        <f aca="false">'P&amp;L'!F40</f>
        <v>39970705.35546</v>
      </c>
    </row>
    <row r="20" customFormat="false" ht="15" hidden="false" customHeight="false" outlineLevel="0" collapsed="false">
      <c r="A20" s="0" t="s">
        <v>16</v>
      </c>
      <c r="B20" s="5" t="n">
        <f aca="false">CashFlow!B21</f>
        <v>983124</v>
      </c>
      <c r="C20" s="5" t="n">
        <f aca="false">CashFlow!C21</f>
        <v>3536269.2</v>
      </c>
      <c r="D20" s="5" t="n">
        <f aca="false">CashFlow!D21</f>
        <v>11811554.55</v>
      </c>
      <c r="E20" s="5" t="n">
        <f aca="false">CashFlow!E21</f>
        <v>30128611.556</v>
      </c>
      <c r="F20" s="5" t="n">
        <f aca="false">CashFlow!F21</f>
        <v>69949316.91146</v>
      </c>
    </row>
    <row r="22" customFormat="false" ht="15" hidden="false" customHeight="false" outlineLevel="0" collapsed="false">
      <c r="A22" s="9" t="s">
        <v>17</v>
      </c>
    </row>
    <row r="23" customFormat="false" ht="15" hidden="false" customHeight="false" outlineLevel="0" collapsed="false">
      <c r="A23" s="0" t="s">
        <v>18</v>
      </c>
    </row>
    <row r="24" customFormat="false" ht="15" hidden="false" customHeight="false" outlineLevel="0" collapsed="false">
      <c r="A24" s="0" t="s">
        <v>19</v>
      </c>
    </row>
    <row r="25" customFormat="false" ht="15" hidden="false" customHeight="false" outlineLevel="0" collapsed="false">
      <c r="A25" s="0" t="s">
        <v>20</v>
      </c>
    </row>
    <row r="26" customFormat="false" ht="15" hidden="false" customHeight="false" outlineLevel="0" collapsed="false">
      <c r="A26" s="0" t="s">
        <v>21</v>
      </c>
    </row>
  </sheetData>
  <mergeCells count="4">
    <mergeCell ref="A1:F1"/>
    <mergeCell ref="A4:C4"/>
    <mergeCell ref="A11:C11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7" min="4" style="0" width="14"/>
  </cols>
  <sheetData>
    <row r="1" customFormat="false" ht="19.7" hidden="false" customHeight="false" outlineLevel="0" collapsed="false">
      <c r="A1" s="1" t="s">
        <v>22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10" t="s">
        <v>23</v>
      </c>
      <c r="B2" s="10"/>
      <c r="C2" s="10"/>
      <c r="D2" s="10"/>
      <c r="E2" s="10"/>
      <c r="F2" s="10"/>
      <c r="G2" s="10"/>
    </row>
    <row r="3" customFormat="false" ht="15" hidden="false" customHeight="false" outlineLevel="0" collapsed="false">
      <c r="A3" s="11" t="s">
        <v>24</v>
      </c>
      <c r="B3" s="11"/>
      <c r="C3" s="11"/>
      <c r="D3" s="11"/>
      <c r="E3" s="11"/>
      <c r="F3" s="11"/>
      <c r="G3" s="11"/>
    </row>
    <row r="5" customFormat="false" ht="15" hidden="false" customHeight="false" outlineLevel="0" collapsed="false">
      <c r="A5" s="3" t="s">
        <v>25</v>
      </c>
      <c r="B5" s="3"/>
      <c r="C5" s="3"/>
    </row>
    <row r="6" customFormat="false" ht="15" hidden="false" customHeight="false" outlineLevel="0" collapsed="false">
      <c r="A6" s="12" t="s">
        <v>26</v>
      </c>
      <c r="B6" s="12" t="s">
        <v>27</v>
      </c>
      <c r="C6" s="12" t="s">
        <v>28</v>
      </c>
    </row>
    <row r="7" customFormat="false" ht="15" hidden="false" customHeight="false" outlineLevel="0" collapsed="false">
      <c r="A7" s="13" t="s">
        <v>29</v>
      </c>
      <c r="B7" s="14" t="n">
        <v>2027</v>
      </c>
      <c r="C7" s="15" t="s">
        <v>30</v>
      </c>
    </row>
    <row r="8" customFormat="false" ht="15" hidden="false" customHeight="false" outlineLevel="0" collapsed="false">
      <c r="A8" s="13" t="s">
        <v>31</v>
      </c>
      <c r="B8" s="16" t="s">
        <v>32</v>
      </c>
      <c r="C8" s="15" t="s">
        <v>33</v>
      </c>
    </row>
    <row r="9" customFormat="false" ht="15" hidden="false" customHeight="false" outlineLevel="0" collapsed="false">
      <c r="A9" s="13" t="s">
        <v>34</v>
      </c>
      <c r="B9" s="14" t="n">
        <v>5</v>
      </c>
      <c r="C9" s="15" t="s">
        <v>35</v>
      </c>
    </row>
    <row r="10" customFormat="false" ht="15" hidden="false" customHeight="false" outlineLevel="0" collapsed="false">
      <c r="A10" s="13" t="s">
        <v>36</v>
      </c>
      <c r="B10" s="14" t="n">
        <v>4200</v>
      </c>
      <c r="C10" s="15" t="s">
        <v>37</v>
      </c>
    </row>
    <row r="11" customFormat="false" ht="15" hidden="false" customHeight="false" outlineLevel="0" collapsed="false">
      <c r="A11" s="13" t="s">
        <v>38</v>
      </c>
      <c r="B11" s="17" t="n">
        <v>0.04</v>
      </c>
      <c r="C11" s="15" t="s">
        <v>39</v>
      </c>
    </row>
    <row r="13" customFormat="false" ht="15" hidden="false" customHeight="false" outlineLevel="0" collapsed="false">
      <c r="A13" s="3" t="s">
        <v>40</v>
      </c>
      <c r="B13" s="3"/>
      <c r="C13" s="3"/>
    </row>
    <row r="14" customFormat="false" ht="15" hidden="false" customHeight="false" outlineLevel="0" collapsed="false">
      <c r="A14" s="12" t="s">
        <v>26</v>
      </c>
      <c r="B14" s="12" t="s">
        <v>27</v>
      </c>
      <c r="C14" s="12" t="s">
        <v>41</v>
      </c>
    </row>
    <row r="15" customFormat="false" ht="15" hidden="false" customHeight="false" outlineLevel="0" collapsed="false">
      <c r="A15" s="0" t="s">
        <v>42</v>
      </c>
      <c r="B15" s="14" t="n">
        <v>2</v>
      </c>
      <c r="C15" s="15" t="s">
        <v>43</v>
      </c>
    </row>
    <row r="16" customFormat="false" ht="15" hidden="false" customHeight="false" outlineLevel="0" collapsed="false">
      <c r="A16" s="0" t="s">
        <v>44</v>
      </c>
      <c r="B16" s="14" t="n">
        <v>5</v>
      </c>
    </row>
    <row r="17" customFormat="false" ht="15" hidden="false" customHeight="false" outlineLevel="0" collapsed="false">
      <c r="A17" s="0" t="s">
        <v>45</v>
      </c>
      <c r="B17" s="14" t="n">
        <v>10</v>
      </c>
    </row>
    <row r="18" customFormat="false" ht="15" hidden="false" customHeight="false" outlineLevel="0" collapsed="false">
      <c r="A18" s="0" t="s">
        <v>46</v>
      </c>
      <c r="B18" s="14" t="n">
        <v>15</v>
      </c>
    </row>
    <row r="19" customFormat="false" ht="15" hidden="false" customHeight="false" outlineLevel="0" collapsed="false">
      <c r="A19" s="0" t="s">
        <v>47</v>
      </c>
      <c r="B19" s="14" t="n">
        <v>22</v>
      </c>
      <c r="C19" s="15" t="s">
        <v>48</v>
      </c>
    </row>
    <row r="20" customFormat="false" ht="15" hidden="false" customHeight="false" outlineLevel="0" collapsed="false">
      <c r="A20" s="0" t="s">
        <v>49</v>
      </c>
      <c r="B20" s="14" t="n">
        <v>40000</v>
      </c>
      <c r="C20" s="15" t="s">
        <v>50</v>
      </c>
    </row>
    <row r="21" customFormat="false" ht="15" hidden="false" customHeight="false" outlineLevel="0" collapsed="false">
      <c r="A21" s="0" t="s">
        <v>51</v>
      </c>
      <c r="B21" s="17" t="n">
        <v>0.45</v>
      </c>
      <c r="C21" s="15" t="s">
        <v>52</v>
      </c>
    </row>
    <row r="22" customFormat="false" ht="15" hidden="false" customHeight="false" outlineLevel="0" collapsed="false">
      <c r="A22" s="0" t="s">
        <v>53</v>
      </c>
      <c r="B22" s="17" t="n">
        <v>1</v>
      </c>
      <c r="C22" s="15" t="s">
        <v>54</v>
      </c>
    </row>
    <row r="25" customFormat="false" ht="15" hidden="false" customHeight="false" outlineLevel="0" collapsed="false">
      <c r="A25" s="3" t="s">
        <v>55</v>
      </c>
      <c r="B25" s="3"/>
      <c r="C25" s="3"/>
    </row>
    <row r="26" customFormat="false" ht="15" hidden="false" customHeight="false" outlineLevel="0" collapsed="false">
      <c r="A26" s="12" t="s">
        <v>26</v>
      </c>
      <c r="B26" s="12" t="s">
        <v>27</v>
      </c>
      <c r="C26" s="12" t="s">
        <v>41</v>
      </c>
    </row>
    <row r="27" customFormat="false" ht="15" hidden="false" customHeight="false" outlineLevel="0" collapsed="false">
      <c r="A27" s="0" t="s">
        <v>56</v>
      </c>
      <c r="B27" s="18" t="n">
        <v>6.5</v>
      </c>
      <c r="C27" s="15" t="s">
        <v>57</v>
      </c>
    </row>
    <row r="28" customFormat="false" ht="15" hidden="false" customHeight="false" outlineLevel="0" collapsed="false">
      <c r="A28" s="0" t="s">
        <v>58</v>
      </c>
      <c r="B28" s="17" t="n">
        <v>0.22</v>
      </c>
      <c r="C28" s="15" t="s">
        <v>59</v>
      </c>
    </row>
    <row r="29" customFormat="false" ht="15" hidden="false" customHeight="false" outlineLevel="0" collapsed="false">
      <c r="A29" s="0" t="s">
        <v>60</v>
      </c>
      <c r="B29" s="17" t="n">
        <v>0.04</v>
      </c>
      <c r="C29" s="15" t="s">
        <v>61</v>
      </c>
    </row>
    <row r="30" customFormat="false" ht="15" hidden="false" customHeight="false" outlineLevel="0" collapsed="false">
      <c r="A30" s="0" t="s">
        <v>62</v>
      </c>
      <c r="B30" s="17" t="n">
        <v>0.18</v>
      </c>
      <c r="C30" s="15" t="s">
        <v>63</v>
      </c>
    </row>
    <row r="31" customFormat="false" ht="15" hidden="false" customHeight="false" outlineLevel="0" collapsed="false">
      <c r="A31" s="0" t="s">
        <v>64</v>
      </c>
      <c r="B31" s="17" t="n">
        <v>0.35</v>
      </c>
      <c r="C31" s="15" t="s">
        <v>65</v>
      </c>
    </row>
    <row r="32" customFormat="false" ht="15" hidden="false" customHeight="false" outlineLevel="0" collapsed="false">
      <c r="A32" s="0" t="s">
        <v>66</v>
      </c>
      <c r="B32" s="17" t="n">
        <v>0.82</v>
      </c>
      <c r="C32" s="15" t="s">
        <v>67</v>
      </c>
    </row>
    <row r="35" customFormat="false" ht="15" hidden="false" customHeight="false" outlineLevel="0" collapsed="false">
      <c r="A35" s="3" t="s">
        <v>68</v>
      </c>
      <c r="B35" s="3"/>
      <c r="C35" s="3"/>
    </row>
    <row r="36" customFormat="false" ht="15" hidden="false" customHeight="false" outlineLevel="0" collapsed="false">
      <c r="A36" s="12" t="s">
        <v>26</v>
      </c>
      <c r="B36" s="12" t="s">
        <v>27</v>
      </c>
      <c r="C36" s="12" t="s">
        <v>41</v>
      </c>
    </row>
    <row r="37" customFormat="false" ht="15" hidden="false" customHeight="false" outlineLevel="0" collapsed="false">
      <c r="A37" s="0" t="s">
        <v>69</v>
      </c>
      <c r="B37" s="14" t="n">
        <v>80</v>
      </c>
      <c r="C37" s="15" t="s">
        <v>70</v>
      </c>
    </row>
    <row r="38" customFormat="false" ht="15" hidden="false" customHeight="false" outlineLevel="0" collapsed="false">
      <c r="A38" s="0" t="s">
        <v>71</v>
      </c>
      <c r="B38" s="14" t="n">
        <v>45</v>
      </c>
      <c r="C38" s="15" t="s">
        <v>72</v>
      </c>
    </row>
    <row r="39" customFormat="false" ht="15" hidden="false" customHeight="false" outlineLevel="0" collapsed="false">
      <c r="A39" s="0" t="s">
        <v>73</v>
      </c>
      <c r="B39" s="17" t="n">
        <v>0.08</v>
      </c>
      <c r="C39" s="15" t="s">
        <v>74</v>
      </c>
    </row>
    <row r="40" customFormat="false" ht="15" hidden="false" customHeight="false" outlineLevel="0" collapsed="false">
      <c r="A40" s="0" t="s">
        <v>75</v>
      </c>
      <c r="B40" s="18" t="n">
        <v>5.2</v>
      </c>
      <c r="C40" s="15" t="s">
        <v>76</v>
      </c>
    </row>
    <row r="43" customFormat="false" ht="15" hidden="false" customHeight="false" outlineLevel="0" collapsed="false">
      <c r="A43" s="3" t="s">
        <v>77</v>
      </c>
      <c r="B43" s="3"/>
      <c r="C43" s="3"/>
    </row>
    <row r="44" customFormat="false" ht="15" hidden="false" customHeight="false" outlineLevel="0" collapsed="false">
      <c r="A44" s="12" t="s">
        <v>78</v>
      </c>
      <c r="B44" s="12" t="s">
        <v>79</v>
      </c>
      <c r="C44" s="12" t="s">
        <v>80</v>
      </c>
    </row>
    <row r="45" customFormat="false" ht="15" hidden="false" customHeight="false" outlineLevel="0" collapsed="false">
      <c r="A45" s="0" t="s">
        <v>81</v>
      </c>
      <c r="B45" s="19" t="n">
        <v>180000</v>
      </c>
      <c r="C45" s="17" t="n">
        <v>0.35</v>
      </c>
    </row>
    <row r="46" customFormat="false" ht="15" hidden="false" customHeight="false" outlineLevel="0" collapsed="false">
      <c r="A46" s="0" t="s">
        <v>82</v>
      </c>
      <c r="B46" s="19" t="n">
        <v>36000</v>
      </c>
      <c r="C46" s="17" t="n">
        <v>0.4</v>
      </c>
    </row>
    <row r="47" customFormat="false" ht="15" hidden="false" customHeight="false" outlineLevel="0" collapsed="false">
      <c r="A47" s="0" t="s">
        <v>83</v>
      </c>
      <c r="B47" s="19" t="n">
        <v>120000</v>
      </c>
      <c r="C47" s="17" t="n">
        <v>0.3</v>
      </c>
    </row>
    <row r="48" customFormat="false" ht="15" hidden="false" customHeight="false" outlineLevel="0" collapsed="false">
      <c r="A48" s="0" t="s">
        <v>84</v>
      </c>
      <c r="B48" s="19" t="n">
        <v>45000</v>
      </c>
      <c r="C48" s="17" t="n">
        <v>0.15</v>
      </c>
    </row>
    <row r="49" customFormat="false" ht="15" hidden="false" customHeight="false" outlineLevel="0" collapsed="false">
      <c r="A49" s="0" t="s">
        <v>85</v>
      </c>
      <c r="B49" s="19" t="n">
        <v>25000</v>
      </c>
      <c r="C49" s="17" t="n">
        <v>0.2</v>
      </c>
    </row>
    <row r="50" customFormat="false" ht="15" hidden="false" customHeight="false" outlineLevel="0" collapsed="false">
      <c r="A50" s="0" t="s">
        <v>86</v>
      </c>
      <c r="B50" s="19" t="n">
        <v>30000</v>
      </c>
      <c r="C50" s="17" t="n">
        <v>0.1</v>
      </c>
    </row>
    <row r="51" customFormat="false" ht="15" hidden="false" customHeight="false" outlineLevel="0" collapsed="false">
      <c r="A51" s="0" t="s">
        <v>87</v>
      </c>
      <c r="B51" s="19" t="n">
        <v>20000</v>
      </c>
      <c r="C51" s="17" t="n">
        <v>0.1</v>
      </c>
    </row>
    <row r="54" customFormat="false" ht="15" hidden="false" customHeight="false" outlineLevel="0" collapsed="false">
      <c r="A54" s="3" t="s">
        <v>88</v>
      </c>
      <c r="B54" s="3"/>
      <c r="C54" s="3"/>
    </row>
    <row r="55" customFormat="false" ht="15" hidden="false" customHeight="false" outlineLevel="0" collapsed="false">
      <c r="A55" s="12" t="s">
        <v>78</v>
      </c>
      <c r="B55" s="12" t="s">
        <v>89</v>
      </c>
      <c r="C55" s="12" t="s">
        <v>90</v>
      </c>
    </row>
    <row r="56" customFormat="false" ht="15" hidden="false" customHeight="false" outlineLevel="0" collapsed="false">
      <c r="A56" s="0" t="s">
        <v>91</v>
      </c>
      <c r="B56" s="19" t="n">
        <v>250000</v>
      </c>
      <c r="C56" s="20" t="n">
        <f aca="false">B56/$B$62</f>
        <v>0.3125</v>
      </c>
    </row>
    <row r="57" customFormat="false" ht="15" hidden="false" customHeight="false" outlineLevel="0" collapsed="false">
      <c r="A57" s="0" t="s">
        <v>92</v>
      </c>
      <c r="B57" s="19" t="n">
        <v>180000</v>
      </c>
      <c r="C57" s="20" t="n">
        <f aca="false">B57/$B$62</f>
        <v>0.225</v>
      </c>
    </row>
    <row r="58" customFormat="false" ht="15" hidden="false" customHeight="false" outlineLevel="0" collapsed="false">
      <c r="A58" s="0" t="s">
        <v>93</v>
      </c>
      <c r="B58" s="19" t="n">
        <v>120000</v>
      </c>
      <c r="C58" s="20" t="n">
        <f aca="false">B58/$B$62</f>
        <v>0.15</v>
      </c>
    </row>
    <row r="59" customFormat="false" ht="15" hidden="false" customHeight="false" outlineLevel="0" collapsed="false">
      <c r="A59" s="0" t="s">
        <v>94</v>
      </c>
      <c r="B59" s="19" t="n">
        <v>100000</v>
      </c>
      <c r="C59" s="20" t="n">
        <f aca="false">B59/$B$62</f>
        <v>0.125</v>
      </c>
    </row>
    <row r="60" customFormat="false" ht="15" hidden="false" customHeight="false" outlineLevel="0" collapsed="false">
      <c r="A60" s="0" t="s">
        <v>95</v>
      </c>
      <c r="B60" s="19" t="n">
        <v>60000</v>
      </c>
      <c r="C60" s="20" t="n">
        <f aca="false">B60/$B$62</f>
        <v>0.075</v>
      </c>
    </row>
    <row r="61" customFormat="false" ht="15" hidden="false" customHeight="false" outlineLevel="0" collapsed="false">
      <c r="A61" s="0" t="s">
        <v>96</v>
      </c>
      <c r="B61" s="19" t="n">
        <v>90000</v>
      </c>
      <c r="C61" s="20" t="n">
        <f aca="false">B61/$B$62</f>
        <v>0.1125</v>
      </c>
    </row>
    <row r="62" customFormat="false" ht="15" hidden="false" customHeight="false" outlineLevel="0" collapsed="false">
      <c r="A62" s="21" t="s">
        <v>97</v>
      </c>
      <c r="B62" s="22" t="n">
        <f aca="false">SUM(B56:B61)</f>
        <v>800000</v>
      </c>
      <c r="C62" s="23" t="n">
        <v>1</v>
      </c>
    </row>
    <row r="65" customFormat="false" ht="15" hidden="false" customHeight="false" outlineLevel="0" collapsed="false">
      <c r="A65" s="3" t="s">
        <v>98</v>
      </c>
      <c r="B65" s="3"/>
      <c r="C65" s="3"/>
    </row>
    <row r="66" customFormat="false" ht="15" hidden="false" customHeight="false" outlineLevel="0" collapsed="false">
      <c r="A66" s="12" t="s">
        <v>78</v>
      </c>
      <c r="B66" s="12" t="s">
        <v>99</v>
      </c>
      <c r="C66" s="12" t="s">
        <v>41</v>
      </c>
    </row>
    <row r="67" customFormat="false" ht="15" hidden="false" customHeight="false" outlineLevel="0" collapsed="false">
      <c r="A67" s="0" t="s">
        <v>100</v>
      </c>
      <c r="B67" s="17" t="n">
        <v>0.015</v>
      </c>
      <c r="C67" s="15" t="s">
        <v>101</v>
      </c>
    </row>
    <row r="68" customFormat="false" ht="15" hidden="false" customHeight="false" outlineLevel="0" collapsed="false">
      <c r="A68" s="0" t="s">
        <v>102</v>
      </c>
      <c r="B68" s="17" t="n">
        <v>0.008</v>
      </c>
      <c r="C68" s="15" t="s">
        <v>103</v>
      </c>
    </row>
    <row r="69" customFormat="false" ht="15" hidden="false" customHeight="false" outlineLevel="0" collapsed="false">
      <c r="A69" s="0" t="s">
        <v>104</v>
      </c>
      <c r="B69" s="17" t="n">
        <v>0.005</v>
      </c>
      <c r="C69" s="15" t="s">
        <v>105</v>
      </c>
    </row>
  </sheetData>
  <mergeCells count="10">
    <mergeCell ref="A1:G1"/>
    <mergeCell ref="A2:G2"/>
    <mergeCell ref="A3:G3"/>
    <mergeCell ref="A5:C5"/>
    <mergeCell ref="A13:C13"/>
    <mergeCell ref="A25:C25"/>
    <mergeCell ref="A35:C35"/>
    <mergeCell ref="A43:C43"/>
    <mergeCell ref="A54:C54"/>
    <mergeCell ref="A65:C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6" min="2" style="0" width="14"/>
  </cols>
  <sheetData>
    <row r="1" customFormat="false" ht="19.7" hidden="false" customHeight="false" outlineLevel="0" collapsed="false">
      <c r="A1" s="1" t="s">
        <v>106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107</v>
      </c>
    </row>
    <row r="4" customFormat="false" ht="15" hidden="false" customHeight="false" outlineLevel="0" collapsed="false">
      <c r="A4" s="8" t="s">
        <v>78</v>
      </c>
      <c r="B4" s="24" t="n">
        <v>2027</v>
      </c>
      <c r="C4" s="24" t="n">
        <v>2028</v>
      </c>
      <c r="D4" s="24" t="n">
        <v>2029</v>
      </c>
      <c r="E4" s="24" t="n">
        <v>2030</v>
      </c>
      <c r="F4" s="24" t="n">
        <v>2031</v>
      </c>
    </row>
    <row r="5" customFormat="false" ht="15" hidden="false" customHeight="false" outlineLevel="0" collapsed="false">
      <c r="A5" s="25" t="s">
        <v>108</v>
      </c>
      <c r="B5" s="25"/>
      <c r="C5" s="25"/>
      <c r="D5" s="25"/>
      <c r="E5" s="25"/>
      <c r="F5" s="25"/>
    </row>
    <row r="6" customFormat="false" ht="15" hidden="false" customHeight="false" outlineLevel="0" collapsed="false">
      <c r="A6" s="0" t="s">
        <v>109</v>
      </c>
      <c r="B6" s="6" t="n">
        <f aca="false">Assumptions!B15</f>
        <v>2</v>
      </c>
      <c r="C6" s="6" t="n">
        <f aca="false">Assumptions!B16</f>
        <v>5</v>
      </c>
      <c r="D6" s="6" t="n">
        <f aca="false">Assumptions!B17</f>
        <v>10</v>
      </c>
      <c r="E6" s="6" t="n">
        <f aca="false">Assumptions!B18</f>
        <v>15</v>
      </c>
      <c r="F6" s="6" t="n">
        <f aca="false">Assumptions!B19</f>
        <v>22</v>
      </c>
    </row>
    <row r="7" customFormat="false" ht="15" hidden="false" customHeight="false" outlineLevel="0" collapsed="false">
      <c r="A7" s="0" t="s">
        <v>110</v>
      </c>
      <c r="B7" s="26" t="n">
        <f aca="false">Assumptions!B15*Assumptions!B20*12/1000</f>
        <v>960</v>
      </c>
      <c r="C7" s="26" t="n">
        <f aca="false">C6*Assumptions!B20*(1+Assumptions!B21)*12/1000</f>
        <v>3480</v>
      </c>
      <c r="D7" s="26" t="n">
        <f aca="false">D6*Assumptions!B20*(1+Assumptions!B21)^2*12/1000</f>
        <v>10092</v>
      </c>
      <c r="E7" s="26" t="n">
        <f aca="false">E6*Assumptions!B20*(1+Assumptions!B21)^3*12/1000</f>
        <v>21950.1</v>
      </c>
      <c r="F7" s="26" t="n">
        <f aca="false">F6*Assumptions!B20*(1+Assumptions!B21)^4*12/1000</f>
        <v>46680.546</v>
      </c>
    </row>
    <row r="8" customFormat="false" ht="15" hidden="false" customHeight="false" outlineLevel="0" collapsed="false">
      <c r="A8" s="0" t="s">
        <v>111</v>
      </c>
      <c r="B8" s="27" t="n">
        <f aca="false">B7*1000*Assumptions!B27</f>
        <v>6240000</v>
      </c>
      <c r="C8" s="27" t="n">
        <f aca="false">C7*1000*Assumptions!B27</f>
        <v>22620000</v>
      </c>
      <c r="D8" s="27" t="n">
        <f aca="false">D7*1000*Assumptions!B27</f>
        <v>65598000</v>
      </c>
      <c r="E8" s="27" t="n">
        <f aca="false">E7*1000*Assumptions!B27</f>
        <v>142675650</v>
      </c>
      <c r="F8" s="27" t="n">
        <f aca="false">F7*1000*Assumptions!B27</f>
        <v>303423549</v>
      </c>
    </row>
    <row r="10" customFormat="false" ht="15" hidden="false" customHeight="false" outlineLevel="0" collapsed="false">
      <c r="A10" s="25" t="s">
        <v>112</v>
      </c>
      <c r="B10" s="25"/>
      <c r="C10" s="25"/>
      <c r="D10" s="25"/>
      <c r="E10" s="25"/>
      <c r="F10" s="25"/>
    </row>
    <row r="11" customFormat="false" ht="15" hidden="false" customHeight="false" outlineLevel="0" collapsed="false">
      <c r="A11" s="0" t="s">
        <v>113</v>
      </c>
      <c r="B11" s="28" t="n">
        <f aca="false">B8*Assumptions!B30</f>
        <v>1123200</v>
      </c>
      <c r="C11" s="28" t="n">
        <f aca="false">C8*Assumptions!B30</f>
        <v>4071600</v>
      </c>
      <c r="D11" s="28" t="n">
        <f aca="false">D8*Assumptions!B30</f>
        <v>11807640</v>
      </c>
      <c r="E11" s="28" t="n">
        <f aca="false">E8*Assumptions!B30</f>
        <v>25681617</v>
      </c>
      <c r="F11" s="28" t="n">
        <f aca="false">F8*Assumptions!B30</f>
        <v>54616238.82</v>
      </c>
    </row>
    <row r="12" customFormat="false" ht="15" hidden="false" customHeight="false" outlineLevel="0" collapsed="false">
      <c r="A12" s="0" t="s">
        <v>114</v>
      </c>
      <c r="B12" s="28" t="n">
        <f aca="false">B8*Assumptions!B67</f>
        <v>93600</v>
      </c>
      <c r="C12" s="28" t="n">
        <f aca="false">C8*Assumptions!B67</f>
        <v>339300</v>
      </c>
      <c r="D12" s="28" t="n">
        <f aca="false">D8*Assumptions!B67</f>
        <v>983970</v>
      </c>
      <c r="E12" s="28" t="n">
        <f aca="false">E8*Assumptions!B67</f>
        <v>2140134.75</v>
      </c>
      <c r="F12" s="28" t="n">
        <f aca="false">F8*Assumptions!B67</f>
        <v>4551353.235</v>
      </c>
    </row>
    <row r="13" customFormat="false" ht="15" hidden="false" customHeight="false" outlineLevel="0" collapsed="false">
      <c r="A13" s="0" t="s">
        <v>115</v>
      </c>
      <c r="B13" s="28" t="n">
        <f aca="false">B8*(Assumptions!B68+Assumptions!B69)</f>
        <v>81120</v>
      </c>
      <c r="C13" s="28" t="n">
        <f aca="false">C8*(Assumptions!B68+Assumptions!B69)</f>
        <v>294060</v>
      </c>
      <c r="D13" s="28" t="n">
        <f aca="false">D8*(Assumptions!B68+Assumptions!B69)</f>
        <v>852774</v>
      </c>
      <c r="E13" s="28" t="n">
        <f aca="false">E8*(Assumptions!B68+Assumptions!B69)</f>
        <v>1854783.45</v>
      </c>
      <c r="F13" s="28" t="n">
        <f aca="false">F8*(Assumptions!B68+Assumptions!B69)</f>
        <v>3944506.137</v>
      </c>
    </row>
    <row r="14" customFormat="false" ht="15" hidden="false" customHeight="false" outlineLevel="0" collapsed="false">
      <c r="A14" s="29" t="s">
        <v>116</v>
      </c>
      <c r="B14" s="30" t="n">
        <f aca="false">B11+B12+B13</f>
        <v>1297920</v>
      </c>
      <c r="C14" s="30" t="n">
        <f aca="false">C11+C12+C13</f>
        <v>4704960</v>
      </c>
      <c r="D14" s="30" t="n">
        <f aca="false">D11+D12+D13</f>
        <v>13644384</v>
      </c>
      <c r="E14" s="30" t="n">
        <f aca="false">E11+E12+E13</f>
        <v>29676535.2</v>
      </c>
      <c r="F14" s="30" t="n">
        <f aca="false">F11+F12+F13</f>
        <v>63112098.192</v>
      </c>
    </row>
    <row r="16" customFormat="false" ht="15" hidden="false" customHeight="false" outlineLevel="0" collapsed="false">
      <c r="A16" s="25" t="s">
        <v>117</v>
      </c>
      <c r="B16" s="25"/>
      <c r="C16" s="25"/>
      <c r="D16" s="25"/>
      <c r="E16" s="25"/>
      <c r="F16" s="25"/>
    </row>
    <row r="17" customFormat="false" ht="15" hidden="false" customHeight="false" outlineLevel="0" collapsed="false">
      <c r="A17" s="0" t="s">
        <v>118</v>
      </c>
      <c r="B17" s="28" t="n">
        <f aca="false">B7*1000*Assumptions!B31</f>
        <v>336000</v>
      </c>
      <c r="C17" s="28" t="n">
        <f aca="false">C7*1000*Assumptions!B31</f>
        <v>1218000</v>
      </c>
      <c r="D17" s="28" t="n">
        <f aca="false">D7*1000*Assumptions!B31</f>
        <v>3532200</v>
      </c>
      <c r="E17" s="28" t="n">
        <f aca="false">E7*1000*Assumptions!B31</f>
        <v>7682535</v>
      </c>
      <c r="F17" s="28" t="n">
        <f aca="false">F7*1000*Assumptions!B31</f>
        <v>16338191.1</v>
      </c>
    </row>
    <row r="18" customFormat="false" ht="15" hidden="false" customHeight="false" outlineLevel="0" collapsed="false">
      <c r="A18" s="31" t="s">
        <v>119</v>
      </c>
      <c r="B18" s="32" t="n">
        <f aca="false">B14-B17</f>
        <v>961920</v>
      </c>
      <c r="C18" s="32" t="n">
        <f aca="false">C14-C17</f>
        <v>3486960</v>
      </c>
      <c r="D18" s="32" t="n">
        <f aca="false">D14-D17</f>
        <v>10112184</v>
      </c>
      <c r="E18" s="32" t="n">
        <f aca="false">E14-E17</f>
        <v>21994000.2</v>
      </c>
      <c r="F18" s="32" t="n">
        <f aca="false">F14-F17</f>
        <v>46773907.092</v>
      </c>
    </row>
    <row r="19" customFormat="false" ht="15" hidden="false" customHeight="false" outlineLevel="0" collapsed="false">
      <c r="A19" s="0" t="s">
        <v>120</v>
      </c>
      <c r="B19" s="20" t="n">
        <f aca="false">IF(B14=0,0,B18/B14)</f>
        <v>0.74112426035503</v>
      </c>
      <c r="C19" s="20" t="n">
        <f aca="false">IF(C14=0,0,C18/C14)</f>
        <v>0.74112426035503</v>
      </c>
      <c r="D19" s="20" t="n">
        <f aca="false">IF(D14=0,0,D18/D14)</f>
        <v>0.74112426035503</v>
      </c>
      <c r="E19" s="20" t="n">
        <f aca="false">IF(E14=0,0,E18/E14)</f>
        <v>0.74112426035503</v>
      </c>
      <c r="F19" s="20" t="n">
        <f aca="false">IF(F14=0,0,F18/F14)</f>
        <v>0.74112426035503</v>
      </c>
    </row>
    <row r="21" customFormat="false" ht="15" hidden="false" customHeight="false" outlineLevel="0" collapsed="false">
      <c r="A21" s="25" t="s">
        <v>121</v>
      </c>
      <c r="B21" s="25"/>
      <c r="C21" s="25"/>
      <c r="D21" s="25"/>
      <c r="E21" s="25"/>
      <c r="F21" s="25"/>
    </row>
    <row r="22" customFormat="false" ht="15" hidden="false" customHeight="false" outlineLevel="0" collapsed="false">
      <c r="A22" s="0" t="s">
        <v>81</v>
      </c>
      <c r="B22" s="28" t="n">
        <f aca="false">Assumptions!B45</f>
        <v>180000</v>
      </c>
      <c r="C22" s="28" t="n">
        <f aca="false">B22*(1+Assumptions!C45)</f>
        <v>243000</v>
      </c>
      <c r="D22" s="28" t="n">
        <f aca="false">C22*(1+Assumptions!C45)</f>
        <v>328050</v>
      </c>
      <c r="E22" s="28" t="n">
        <f aca="false">D22*(1+Assumptions!C45)</f>
        <v>442867.5</v>
      </c>
      <c r="F22" s="28" t="n">
        <f aca="false">E22*(1+Assumptions!C45)</f>
        <v>597871.125</v>
      </c>
    </row>
    <row r="23" customFormat="false" ht="15" hidden="false" customHeight="false" outlineLevel="0" collapsed="false">
      <c r="A23" s="0" t="s">
        <v>122</v>
      </c>
      <c r="B23" s="28" t="n">
        <f aca="false">Assumptions!B46</f>
        <v>36000</v>
      </c>
      <c r="C23" s="28" t="n">
        <f aca="false">B23*(1+Assumptions!C46)</f>
        <v>50400</v>
      </c>
      <c r="D23" s="28" t="n">
        <f aca="false">C23*(1+Assumptions!C46)</f>
        <v>70560</v>
      </c>
      <c r="E23" s="28" t="n">
        <f aca="false">D23*(1+Assumptions!C46)</f>
        <v>98784</v>
      </c>
      <c r="F23" s="28" t="n">
        <f aca="false">E23*(1+Assumptions!C46)</f>
        <v>138297.6</v>
      </c>
    </row>
    <row r="24" customFormat="false" ht="15" hidden="false" customHeight="false" outlineLevel="0" collapsed="false">
      <c r="A24" s="0" t="s">
        <v>123</v>
      </c>
      <c r="B24" s="28" t="n">
        <f aca="false">Assumptions!B47</f>
        <v>120000</v>
      </c>
      <c r="C24" s="28" t="n">
        <f aca="false">B24*(1+Assumptions!C47)</f>
        <v>156000</v>
      </c>
      <c r="D24" s="28" t="n">
        <f aca="false">C24*(1+Assumptions!C47)</f>
        <v>202800</v>
      </c>
      <c r="E24" s="28" t="n">
        <f aca="false">D24*(1+Assumptions!C47)</f>
        <v>263640</v>
      </c>
      <c r="F24" s="28" t="n">
        <f aca="false">E24*(1+Assumptions!C47)</f>
        <v>342732</v>
      </c>
    </row>
    <row r="25" customFormat="false" ht="15" hidden="false" customHeight="false" outlineLevel="0" collapsed="false">
      <c r="A25" s="0" t="s">
        <v>84</v>
      </c>
      <c r="B25" s="28" t="n">
        <f aca="false">Assumptions!B48</f>
        <v>45000</v>
      </c>
      <c r="C25" s="28" t="n">
        <f aca="false">B25*(1+Assumptions!C48)</f>
        <v>51750</v>
      </c>
      <c r="D25" s="28" t="n">
        <f aca="false">C25*(1+Assumptions!C48)</f>
        <v>59512.5</v>
      </c>
      <c r="E25" s="28" t="n">
        <f aca="false">D25*(1+Assumptions!C48)</f>
        <v>68439.375</v>
      </c>
      <c r="F25" s="28" t="n">
        <f aca="false">E25*(1+Assumptions!C48)</f>
        <v>78705.28125</v>
      </c>
    </row>
    <row r="26" customFormat="false" ht="15" hidden="false" customHeight="false" outlineLevel="0" collapsed="false">
      <c r="A26" s="0" t="s">
        <v>124</v>
      </c>
      <c r="B26" s="28" t="n">
        <f aca="false">Assumptions!B49</f>
        <v>25000</v>
      </c>
      <c r="C26" s="28" t="n">
        <f aca="false">B26*(1+Assumptions!C49)</f>
        <v>30000</v>
      </c>
      <c r="D26" s="28" t="n">
        <f aca="false">C26*(1+Assumptions!C49)</f>
        <v>36000</v>
      </c>
      <c r="E26" s="28" t="n">
        <f aca="false">D26*(1+Assumptions!C49)</f>
        <v>43200</v>
      </c>
      <c r="F26" s="28" t="n">
        <f aca="false">E26*(1+Assumptions!C49)</f>
        <v>51840</v>
      </c>
    </row>
    <row r="27" customFormat="false" ht="15" hidden="false" customHeight="false" outlineLevel="0" collapsed="false">
      <c r="A27" s="0" t="s">
        <v>125</v>
      </c>
      <c r="B27" s="28" t="n">
        <f aca="false">Assumptions!B50</f>
        <v>30000</v>
      </c>
      <c r="C27" s="28" t="n">
        <f aca="false">B27*(1+Assumptions!C50)</f>
        <v>33000</v>
      </c>
      <c r="D27" s="28" t="n">
        <f aca="false">C27*(1+Assumptions!C50)</f>
        <v>36300</v>
      </c>
      <c r="E27" s="28" t="n">
        <f aca="false">D27*(1+Assumptions!C50)</f>
        <v>39930</v>
      </c>
      <c r="F27" s="28" t="n">
        <f aca="false">E27*(1+Assumptions!C50)</f>
        <v>43923</v>
      </c>
    </row>
    <row r="28" customFormat="false" ht="15" hidden="false" customHeight="false" outlineLevel="0" collapsed="false">
      <c r="A28" s="0" t="s">
        <v>126</v>
      </c>
      <c r="B28" s="28" t="n">
        <f aca="false">Assumptions!B51</f>
        <v>20000</v>
      </c>
      <c r="C28" s="28" t="n">
        <f aca="false">B28*(1+Assumptions!C51)</f>
        <v>22000</v>
      </c>
      <c r="D28" s="28" t="n">
        <f aca="false">C28*(1+Assumptions!C51)</f>
        <v>24200</v>
      </c>
      <c r="E28" s="28" t="n">
        <f aca="false">D28*(1+Assumptions!C51)</f>
        <v>26620</v>
      </c>
      <c r="F28" s="28" t="n">
        <f aca="false">E28*(1+Assumptions!C51)</f>
        <v>29282</v>
      </c>
    </row>
    <row r="29" customFormat="false" ht="15" hidden="false" customHeight="false" outlineLevel="0" collapsed="false">
      <c r="A29" s="33" t="s">
        <v>127</v>
      </c>
      <c r="B29" s="34" t="n">
        <f aca="false">SUM(B22:B28)</f>
        <v>456000</v>
      </c>
      <c r="C29" s="34" t="n">
        <f aca="false">SUM(C22:C28)</f>
        <v>586150</v>
      </c>
      <c r="D29" s="34" t="n">
        <f aca="false">SUM(D22:D28)</f>
        <v>757422.5</v>
      </c>
      <c r="E29" s="34" t="n">
        <f aca="false">SUM(E22:E28)</f>
        <v>983480.875</v>
      </c>
      <c r="F29" s="34" t="n">
        <f aca="false">SUM(F22:F28)</f>
        <v>1282651.00625</v>
      </c>
    </row>
    <row r="31" customFormat="false" ht="15" hidden="false" customHeight="false" outlineLevel="0" collapsed="false">
      <c r="A31" s="35" t="s">
        <v>14</v>
      </c>
      <c r="B31" s="36" t="n">
        <f aca="false">B18-B29</f>
        <v>505920</v>
      </c>
      <c r="C31" s="36" t="n">
        <f aca="false">C18-C29</f>
        <v>2900810</v>
      </c>
      <c r="D31" s="36" t="n">
        <f aca="false">D18-D29</f>
        <v>9354761.5</v>
      </c>
      <c r="E31" s="36" t="n">
        <f aca="false">E18-E29</f>
        <v>21010519.325</v>
      </c>
      <c r="F31" s="36" t="n">
        <f aca="false">F18-F29</f>
        <v>45491256.08575</v>
      </c>
    </row>
    <row r="32" customFormat="false" ht="15" hidden="false" customHeight="false" outlineLevel="0" collapsed="false">
      <c r="A32" s="0" t="s">
        <v>128</v>
      </c>
      <c r="B32" s="20" t="n">
        <f aca="false">IF(B14=0,0,B31/B14)</f>
        <v>0.389792899408284</v>
      </c>
      <c r="C32" s="20" t="n">
        <f aca="false">IF(C14=0,0,C31/C14)</f>
        <v>0.616542967421615</v>
      </c>
      <c r="D32" s="20" t="n">
        <f aca="false">IF(D14=0,0,D31/D14)</f>
        <v>0.685612593430381</v>
      </c>
      <c r="E32" s="20" t="n">
        <f aca="false">IF(E14=0,0,E31/E14)</f>
        <v>0.70798424355819</v>
      </c>
      <c r="F32" s="20" t="n">
        <f aca="false">IF(F14=0,0,F31/F14)</f>
        <v>0.720800882698532</v>
      </c>
    </row>
    <row r="34" customFormat="false" ht="15" hidden="false" customHeight="false" outlineLevel="0" collapsed="false">
      <c r="A34" s="0" t="s">
        <v>129</v>
      </c>
      <c r="B34" s="19" t="n">
        <v>50000</v>
      </c>
      <c r="C34" s="19" t="n">
        <v>55000</v>
      </c>
      <c r="D34" s="19" t="n">
        <v>60000</v>
      </c>
      <c r="E34" s="19" t="n">
        <v>65000</v>
      </c>
      <c r="F34" s="19" t="n">
        <v>70000</v>
      </c>
    </row>
    <row r="35" customFormat="false" ht="15" hidden="false" customHeight="false" outlineLevel="0" collapsed="false">
      <c r="A35" s="37" t="s">
        <v>130</v>
      </c>
      <c r="B35" s="38" t="n">
        <f aca="false">B31-B34</f>
        <v>455920</v>
      </c>
      <c r="C35" s="38" t="n">
        <f aca="false">C31-C34</f>
        <v>2845810</v>
      </c>
      <c r="D35" s="38" t="n">
        <f aca="false">D31-D34</f>
        <v>9294761.5</v>
      </c>
      <c r="E35" s="38" t="n">
        <f aca="false">E31-E34</f>
        <v>20945519.325</v>
      </c>
      <c r="F35" s="38" t="n">
        <f aca="false">F31-F34</f>
        <v>45421256.08575</v>
      </c>
    </row>
    <row r="37" customFormat="false" ht="15" hidden="false" customHeight="false" outlineLevel="0" collapsed="false">
      <c r="A37" s="0" t="s">
        <v>131</v>
      </c>
      <c r="B37" s="17" t="n">
        <v>0.05</v>
      </c>
      <c r="C37" s="17" t="n">
        <v>0.08</v>
      </c>
      <c r="D37" s="17" t="n">
        <v>0.1</v>
      </c>
      <c r="E37" s="17" t="n">
        <v>0.12</v>
      </c>
      <c r="F37" s="17" t="n">
        <v>0.12</v>
      </c>
    </row>
    <row r="38" customFormat="false" ht="15" hidden="false" customHeight="false" outlineLevel="0" collapsed="false">
      <c r="A38" s="0" t="s">
        <v>132</v>
      </c>
      <c r="B38" s="28" t="n">
        <f aca="false">MAX(0,B35)*B37</f>
        <v>22796</v>
      </c>
      <c r="C38" s="28" t="n">
        <f aca="false">MAX(0,C35)*C37</f>
        <v>227664.8</v>
      </c>
      <c r="D38" s="28" t="n">
        <f aca="false">MAX(0,D35)*D37</f>
        <v>929476.15</v>
      </c>
      <c r="E38" s="28" t="n">
        <f aca="false">MAX(0,E35)*E37</f>
        <v>2513462.319</v>
      </c>
      <c r="F38" s="28" t="n">
        <f aca="false">MAX(0,F35)*F37</f>
        <v>5450550.73029</v>
      </c>
    </row>
    <row r="40" customFormat="false" ht="15" hidden="false" customHeight="false" outlineLevel="0" collapsed="false">
      <c r="A40" s="39" t="s">
        <v>133</v>
      </c>
      <c r="B40" s="40" t="n">
        <f aca="false">B35-B38</f>
        <v>433124</v>
      </c>
      <c r="C40" s="40" t="n">
        <f aca="false">C35-C38</f>
        <v>2618145.2</v>
      </c>
      <c r="D40" s="40" t="n">
        <f aca="false">D35-D38</f>
        <v>8365285.35</v>
      </c>
      <c r="E40" s="40" t="n">
        <f aca="false">E35-E38</f>
        <v>18432057.006</v>
      </c>
      <c r="F40" s="40" t="n">
        <f aca="false">F35-F38</f>
        <v>39970705.35546</v>
      </c>
    </row>
    <row r="41" customFormat="false" ht="15" hidden="false" customHeight="false" outlineLevel="0" collapsed="false">
      <c r="A41" s="0" t="s">
        <v>134</v>
      </c>
      <c r="B41" s="20" t="n">
        <f aca="false">IF(B14=0,0,B40/B14)</f>
        <v>0.333706237672584</v>
      </c>
      <c r="C41" s="20" t="n">
        <f aca="false">IF(C14=0,0,C40/C14)</f>
        <v>0.556464922124737</v>
      </c>
      <c r="D41" s="20" t="n">
        <f aca="false">IF(D14=0,0,D40/D14)</f>
        <v>0.613093661831857</v>
      </c>
      <c r="E41" s="20" t="n">
        <f aca="false">IF(E14=0,0,E40/E14)</f>
        <v>0.621098685603972</v>
      </c>
      <c r="F41" s="20" t="n">
        <f aca="false">IF(F14=0,0,F40/F14)</f>
        <v>0.63332873570232</v>
      </c>
    </row>
    <row r="43" customFormat="false" ht="15" hidden="false" customHeight="false" outlineLevel="0" collapsed="false">
      <c r="A43" s="25" t="s">
        <v>135</v>
      </c>
      <c r="B43" s="25"/>
      <c r="C43" s="25"/>
      <c r="D43" s="25"/>
      <c r="E43" s="25"/>
      <c r="F43" s="25"/>
    </row>
    <row r="44" customFormat="false" ht="15" hidden="false" customHeight="false" outlineLevel="0" collapsed="false">
      <c r="A44" s="0" t="s">
        <v>136</v>
      </c>
      <c r="B44" s="41" t="n">
        <f aca="false">B7*1000/Assumptions!B37</f>
        <v>12000</v>
      </c>
      <c r="C44" s="41" t="n">
        <f aca="false">C7*1000/Assumptions!B37</f>
        <v>43500</v>
      </c>
      <c r="D44" s="41" t="n">
        <f aca="false">D7*1000/Assumptions!B37</f>
        <v>126150</v>
      </c>
      <c r="E44" s="41" t="n">
        <f aca="false">E7*1000/Assumptions!B37</f>
        <v>274376.25</v>
      </c>
      <c r="F44" s="41" t="n">
        <f aca="false">F7*1000/Assumptions!B37</f>
        <v>583506.825</v>
      </c>
    </row>
    <row r="45" customFormat="false" ht="15" hidden="false" customHeight="false" outlineLevel="0" collapsed="false">
      <c r="A45" s="0" t="s">
        <v>137</v>
      </c>
      <c r="B45" s="28" t="n">
        <f aca="false">B7*1000*Assumptions!B40</f>
        <v>4992000</v>
      </c>
      <c r="C45" s="28" t="n">
        <f aca="false">C7*1000*Assumptions!B40</f>
        <v>18096000</v>
      </c>
      <c r="D45" s="28" t="n">
        <f aca="false">D7*1000*Assumptions!B40</f>
        <v>52478400</v>
      </c>
      <c r="E45" s="28" t="n">
        <f aca="false">E7*1000*Assumptions!B40</f>
        <v>114140520</v>
      </c>
      <c r="F45" s="28" t="n">
        <f aca="false">F7*1000*Assumptions!B40</f>
        <v>242738839.2</v>
      </c>
    </row>
  </sheetData>
  <mergeCells count="6">
    <mergeCell ref="A1:G1"/>
    <mergeCell ref="A5:F5"/>
    <mergeCell ref="A10:F10"/>
    <mergeCell ref="A16:F16"/>
    <mergeCell ref="A21:F21"/>
    <mergeCell ref="A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6" min="2" style="0" width="14"/>
  </cols>
  <sheetData>
    <row r="1" customFormat="false" ht="19.7" hidden="false" customHeight="false" outlineLevel="0" collapsed="false">
      <c r="A1" s="1" t="s">
        <v>138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139</v>
      </c>
    </row>
    <row r="4" customFormat="false" ht="15" hidden="false" customHeight="false" outlineLevel="0" collapsed="false">
      <c r="A4" s="8" t="s">
        <v>78</v>
      </c>
      <c r="B4" s="8" t="n">
        <v>2027</v>
      </c>
      <c r="C4" s="8" t="n">
        <v>2028</v>
      </c>
      <c r="D4" s="8" t="n">
        <v>2029</v>
      </c>
      <c r="E4" s="8" t="n">
        <v>2030</v>
      </c>
      <c r="F4" s="8" t="n">
        <v>2031</v>
      </c>
    </row>
    <row r="5" customFormat="false" ht="15" hidden="false" customHeight="false" outlineLevel="0" collapsed="false">
      <c r="A5" s="0" t="s">
        <v>133</v>
      </c>
      <c r="B5" s="5" t="n">
        <f aca="false">'P&amp;L'!B40</f>
        <v>433124</v>
      </c>
      <c r="C5" s="5" t="n">
        <f aca="false">'P&amp;L'!C40</f>
        <v>2618145.2</v>
      </c>
      <c r="D5" s="5" t="n">
        <f aca="false">'P&amp;L'!D40</f>
        <v>8365285.35</v>
      </c>
      <c r="E5" s="5" t="n">
        <f aca="false">'P&amp;L'!E40</f>
        <v>18432057.006</v>
      </c>
      <c r="F5" s="5" t="n">
        <f aca="false">'P&amp;L'!F40</f>
        <v>39970705.35546</v>
      </c>
    </row>
    <row r="6" customFormat="false" ht="15" hidden="false" customHeight="false" outlineLevel="0" collapsed="false">
      <c r="A6" s="0" t="s">
        <v>140</v>
      </c>
      <c r="B6" s="5" t="n">
        <f aca="false">'P&amp;L'!B34</f>
        <v>50000</v>
      </c>
      <c r="C6" s="5" t="n">
        <f aca="false">'P&amp;L'!C34</f>
        <v>55000</v>
      </c>
      <c r="D6" s="5" t="n">
        <f aca="false">'P&amp;L'!D34</f>
        <v>60000</v>
      </c>
      <c r="E6" s="5" t="n">
        <f aca="false">'P&amp;L'!E34</f>
        <v>65000</v>
      </c>
      <c r="F6" s="5" t="n">
        <f aca="false">'P&amp;L'!F34</f>
        <v>70000</v>
      </c>
    </row>
    <row r="7" customFormat="false" ht="15" hidden="false" customHeight="false" outlineLevel="0" collapsed="false">
      <c r="A7" s="29" t="s">
        <v>141</v>
      </c>
      <c r="B7" s="30" t="n">
        <f aca="false">B5+B6</f>
        <v>483124</v>
      </c>
      <c r="C7" s="30" t="n">
        <f aca="false">C5+C6</f>
        <v>2673145.2</v>
      </c>
      <c r="D7" s="30" t="n">
        <f aca="false">D5+D6</f>
        <v>8425285.35</v>
      </c>
      <c r="E7" s="30" t="n">
        <f aca="false">E5+E6</f>
        <v>18497057.006</v>
      </c>
      <c r="F7" s="30" t="n">
        <f aca="false">F5+F6</f>
        <v>40040705.35546</v>
      </c>
    </row>
    <row r="9" customFormat="false" ht="15" hidden="false" customHeight="false" outlineLevel="0" collapsed="false">
      <c r="A9" s="25" t="s">
        <v>142</v>
      </c>
      <c r="B9" s="25"/>
      <c r="C9" s="25"/>
      <c r="D9" s="25"/>
      <c r="E9" s="25"/>
      <c r="F9" s="25"/>
    </row>
    <row r="10" customFormat="false" ht="15" hidden="false" customHeight="false" outlineLevel="0" collapsed="false">
      <c r="A10" s="0" t="s">
        <v>143</v>
      </c>
      <c r="B10" s="5" t="n">
        <f aca="false">-Assumptions!B56</f>
        <v>-250000</v>
      </c>
      <c r="C10" s="19" t="n">
        <v>-40000</v>
      </c>
      <c r="D10" s="19" t="n">
        <v>-50000</v>
      </c>
      <c r="E10" s="19" t="n">
        <v>-60000</v>
      </c>
      <c r="F10" s="19" t="n">
        <v>-70000</v>
      </c>
    </row>
    <row r="11" customFormat="false" ht="15" hidden="false" customHeight="false" outlineLevel="0" collapsed="false">
      <c r="A11" s="0" t="s">
        <v>144</v>
      </c>
      <c r="B11" s="19" t="n">
        <v>-50000</v>
      </c>
      <c r="C11" s="19" t="n">
        <v>-80000</v>
      </c>
      <c r="D11" s="19" t="n">
        <v>-100000</v>
      </c>
      <c r="E11" s="19" t="n">
        <v>-120000</v>
      </c>
      <c r="F11" s="19" t="n">
        <v>-150000</v>
      </c>
    </row>
    <row r="12" customFormat="false" ht="15" hidden="false" customHeight="false" outlineLevel="0" collapsed="false">
      <c r="A12" s="37" t="s">
        <v>145</v>
      </c>
      <c r="B12" s="38" t="n">
        <f aca="false">B10+B11</f>
        <v>-300000</v>
      </c>
      <c r="C12" s="38" t="n">
        <f aca="false">C10+C11</f>
        <v>-120000</v>
      </c>
      <c r="D12" s="38" t="n">
        <f aca="false">D10+D11</f>
        <v>-150000</v>
      </c>
      <c r="E12" s="38" t="n">
        <f aca="false">E10+E11</f>
        <v>-180000</v>
      </c>
      <c r="F12" s="38" t="n">
        <f aca="false">F10+F11</f>
        <v>-220000</v>
      </c>
    </row>
    <row r="14" customFormat="false" ht="15" hidden="false" customHeight="false" outlineLevel="0" collapsed="false">
      <c r="A14" s="25" t="s">
        <v>146</v>
      </c>
      <c r="B14" s="25"/>
      <c r="C14" s="25"/>
      <c r="D14" s="25"/>
      <c r="E14" s="25"/>
      <c r="F14" s="25"/>
    </row>
    <row r="15" customFormat="false" ht="15" hidden="false" customHeight="false" outlineLevel="0" collapsed="false">
      <c r="A15" s="0" t="s">
        <v>147</v>
      </c>
      <c r="B15" s="5" t="n">
        <f aca="false">Assumptions!B62</f>
        <v>800000</v>
      </c>
      <c r="C15" s="19" t="n">
        <v>0</v>
      </c>
      <c r="D15" s="19" t="n">
        <v>0</v>
      </c>
      <c r="E15" s="19" t="n">
        <v>0</v>
      </c>
      <c r="F15" s="19" t="n">
        <v>0</v>
      </c>
    </row>
    <row r="16" customFormat="false" ht="15" hidden="false" customHeight="false" outlineLevel="0" collapsed="false">
      <c r="A16" s="0" t="s">
        <v>148</v>
      </c>
      <c r="B16" s="19" t="n">
        <v>0</v>
      </c>
      <c r="C16" s="19" t="n">
        <v>0</v>
      </c>
      <c r="D16" s="19" t="n">
        <v>0</v>
      </c>
      <c r="E16" s="19" t="n">
        <v>0</v>
      </c>
      <c r="F16" s="19" t="n">
        <v>0</v>
      </c>
    </row>
    <row r="17" customFormat="false" ht="15" hidden="false" customHeight="false" outlineLevel="0" collapsed="false">
      <c r="A17" s="37" t="s">
        <v>149</v>
      </c>
      <c r="B17" s="38" t="n">
        <f aca="false">B15+B16</f>
        <v>800000</v>
      </c>
      <c r="C17" s="38" t="n">
        <f aca="false">C15+C16</f>
        <v>0</v>
      </c>
      <c r="D17" s="38" t="n">
        <f aca="false">D15+D16</f>
        <v>0</v>
      </c>
      <c r="E17" s="38" t="n">
        <f aca="false">E15+E16</f>
        <v>0</v>
      </c>
      <c r="F17" s="38" t="n">
        <f aca="false">F15+F16</f>
        <v>0</v>
      </c>
    </row>
    <row r="19" customFormat="false" ht="15" hidden="false" customHeight="false" outlineLevel="0" collapsed="false">
      <c r="A19" s="21" t="s">
        <v>150</v>
      </c>
      <c r="B19" s="22" t="n">
        <f aca="false">B7+B12+B17</f>
        <v>983124</v>
      </c>
      <c r="C19" s="22" t="n">
        <f aca="false">C7+C12+C17</f>
        <v>2553145.2</v>
      </c>
      <c r="D19" s="22" t="n">
        <f aca="false">D7+D12+D17</f>
        <v>8275285.35</v>
      </c>
      <c r="E19" s="22" t="n">
        <f aca="false">E7+E12+E17</f>
        <v>18317057.006</v>
      </c>
      <c r="F19" s="22" t="n">
        <f aca="false">F7+F12+F17</f>
        <v>39820705.35546</v>
      </c>
    </row>
    <row r="21" customFormat="false" ht="15" hidden="false" customHeight="false" outlineLevel="0" collapsed="false">
      <c r="A21" s="31" t="s">
        <v>151</v>
      </c>
      <c r="B21" s="32" t="n">
        <f aca="false">B19</f>
        <v>983124</v>
      </c>
      <c r="C21" s="32" t="n">
        <f aca="false">B21+C19</f>
        <v>3536269.2</v>
      </c>
      <c r="D21" s="32" t="n">
        <f aca="false">C21+D19</f>
        <v>11811554.55</v>
      </c>
      <c r="E21" s="32" t="n">
        <f aca="false">D21+E19</f>
        <v>30128611.556</v>
      </c>
      <c r="F21" s="32" t="n">
        <f aca="false">E21+F19</f>
        <v>69949316.91146</v>
      </c>
    </row>
  </sheetData>
  <mergeCells count="3">
    <mergeCell ref="A1:G1"/>
    <mergeCell ref="A9:F9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35"/>
  </cols>
  <sheetData>
    <row r="1" customFormat="false" ht="19.7" hidden="false" customHeight="false" outlineLevel="0" collapsed="false">
      <c r="A1" s="1" t="s">
        <v>152</v>
      </c>
      <c r="B1" s="1"/>
      <c r="C1" s="1"/>
      <c r="D1" s="1"/>
    </row>
    <row r="3" customFormat="false" ht="15" hidden="false" customHeight="false" outlineLevel="0" collapsed="false">
      <c r="A3" s="3" t="s">
        <v>153</v>
      </c>
      <c r="B3" s="3"/>
      <c r="C3" s="3"/>
    </row>
    <row r="4" customFormat="false" ht="15" hidden="false" customHeight="false" outlineLevel="0" collapsed="false">
      <c r="A4" s="12" t="s">
        <v>12</v>
      </c>
      <c r="B4" s="12" t="s">
        <v>27</v>
      </c>
      <c r="C4" s="12" t="s">
        <v>154</v>
      </c>
    </row>
    <row r="5" customFormat="false" ht="15" hidden="false" customHeight="false" outlineLevel="0" collapsed="false">
      <c r="A5" s="0" t="s">
        <v>155</v>
      </c>
      <c r="B5" s="42" t="n">
        <f aca="false">Assumptions!B27</f>
        <v>6.5</v>
      </c>
      <c r="C5" s="15" t="s">
        <v>156</v>
      </c>
    </row>
    <row r="6" customFormat="false" ht="15" hidden="false" customHeight="false" outlineLevel="0" collapsed="false">
      <c r="A6" s="0" t="s">
        <v>157</v>
      </c>
      <c r="B6" s="43" t="n">
        <f aca="false">Assumptions!B28</f>
        <v>0.22</v>
      </c>
      <c r="C6" s="15" t="s">
        <v>158</v>
      </c>
    </row>
    <row r="7" customFormat="false" ht="15" hidden="false" customHeight="false" outlineLevel="0" collapsed="false">
      <c r="A7" s="0" t="s">
        <v>159</v>
      </c>
      <c r="B7" s="43" t="n">
        <f aca="false">Assumptions!B29</f>
        <v>0.04</v>
      </c>
      <c r="C7" s="15" t="s">
        <v>158</v>
      </c>
    </row>
    <row r="8" customFormat="false" ht="15" hidden="false" customHeight="false" outlineLevel="0" collapsed="false">
      <c r="A8" s="0" t="s">
        <v>62</v>
      </c>
      <c r="B8" s="43" t="n">
        <f aca="false">Assumptions!B30</f>
        <v>0.18</v>
      </c>
      <c r="C8" s="15" t="s">
        <v>160</v>
      </c>
    </row>
    <row r="9" customFormat="false" ht="15" hidden="false" customHeight="false" outlineLevel="0" collapsed="false">
      <c r="A9" s="0" t="s">
        <v>161</v>
      </c>
      <c r="B9" s="44" t="n">
        <f aca="false">B5*B8</f>
        <v>1.17</v>
      </c>
      <c r="C9" s="15" t="s">
        <v>162</v>
      </c>
    </row>
    <row r="10" customFormat="false" ht="15" hidden="false" customHeight="false" outlineLevel="0" collapsed="false">
      <c r="A10" s="0" t="s">
        <v>163</v>
      </c>
      <c r="B10" s="42" t="n">
        <f aca="false">Assumptions!B31</f>
        <v>0.35</v>
      </c>
      <c r="C10" s="15" t="s">
        <v>164</v>
      </c>
    </row>
    <row r="11" customFormat="false" ht="15" hidden="false" customHeight="false" outlineLevel="0" collapsed="false">
      <c r="A11" s="0" t="s">
        <v>165</v>
      </c>
      <c r="B11" s="45" t="n">
        <f aca="false">B9-B10</f>
        <v>0.82</v>
      </c>
      <c r="C11" s="15" t="s">
        <v>166</v>
      </c>
    </row>
    <row r="12" customFormat="false" ht="15" hidden="false" customHeight="false" outlineLevel="0" collapsed="false">
      <c r="A12" s="0" t="s">
        <v>167</v>
      </c>
      <c r="B12" s="20" t="n">
        <f aca="false">IF(B9=0,0,B11/B9)</f>
        <v>0.700854700854701</v>
      </c>
      <c r="C12" s="15" t="s">
        <v>168</v>
      </c>
    </row>
    <row r="14" customFormat="false" ht="15" hidden="false" customHeight="false" outlineLevel="0" collapsed="false">
      <c r="A14" s="3" t="s">
        <v>169</v>
      </c>
      <c r="B14" s="3"/>
      <c r="C14" s="3"/>
    </row>
    <row r="15" customFormat="false" ht="15" hidden="false" customHeight="false" outlineLevel="0" collapsed="false">
      <c r="A15" s="0" t="s">
        <v>170</v>
      </c>
      <c r="B15" s="6" t="n">
        <f aca="false">Assumptions!B37</f>
        <v>80</v>
      </c>
    </row>
    <row r="16" customFormat="false" ht="15" hidden="false" customHeight="false" outlineLevel="0" collapsed="false">
      <c r="A16" s="0" t="s">
        <v>171</v>
      </c>
      <c r="B16" s="42" t="n">
        <f aca="false">Assumptions!B40</f>
        <v>5.2</v>
      </c>
    </row>
    <row r="17" customFormat="false" ht="15" hidden="false" customHeight="false" outlineLevel="0" collapsed="false">
      <c r="A17" s="0" t="s">
        <v>172</v>
      </c>
      <c r="B17" s="28" t="n">
        <f aca="false">B15*B16</f>
        <v>416</v>
      </c>
    </row>
    <row r="18" customFormat="false" ht="15" hidden="false" customHeight="false" outlineLevel="0" collapsed="false">
      <c r="A18" s="0" t="s">
        <v>173</v>
      </c>
      <c r="B18" s="5" t="n">
        <f aca="false">Assumptions!B38</f>
        <v>45</v>
      </c>
    </row>
    <row r="19" customFormat="false" ht="15" hidden="false" customHeight="false" outlineLevel="0" collapsed="false">
      <c r="A19" s="0" t="s">
        <v>174</v>
      </c>
      <c r="B19" s="46" t="n">
        <f aca="false">IF(B11=0,0,B18/(B11*B15))</f>
        <v>0.685975609756098</v>
      </c>
    </row>
    <row r="21" customFormat="false" ht="15" hidden="false" customHeight="false" outlineLevel="0" collapsed="false">
      <c r="A21" s="3" t="s">
        <v>175</v>
      </c>
      <c r="B21" s="3"/>
      <c r="C21" s="3"/>
    </row>
    <row r="22" customFormat="false" ht="15" hidden="false" customHeight="false" outlineLevel="0" collapsed="false">
      <c r="A22" s="0" t="s">
        <v>176</v>
      </c>
      <c r="B22" s="47" t="n">
        <f aca="false">IF(B18=0,0,(B11*B15*18)/B18)</f>
        <v>26.24</v>
      </c>
    </row>
  </sheetData>
  <mergeCells count="4">
    <mergeCell ref="A1:D1"/>
    <mergeCell ref="A3:C3"/>
    <mergeCell ref="A14:C14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40"/>
  </cols>
  <sheetData>
    <row r="1" customFormat="false" ht="19.7" hidden="false" customHeight="false" outlineLevel="0" collapsed="false">
      <c r="A1" s="1" t="s">
        <v>177</v>
      </c>
      <c r="B1" s="1"/>
      <c r="C1" s="1"/>
      <c r="D1" s="1"/>
    </row>
    <row r="3" customFormat="false" ht="15" hidden="false" customHeight="false" outlineLevel="0" collapsed="false">
      <c r="A3" s="3" t="s">
        <v>178</v>
      </c>
      <c r="B3" s="3"/>
      <c r="C3" s="3"/>
      <c r="D3" s="3"/>
    </row>
    <row r="4" customFormat="false" ht="15" hidden="false" customHeight="false" outlineLevel="0" collapsed="false">
      <c r="A4" s="8" t="s">
        <v>78</v>
      </c>
      <c r="B4" s="8" t="s">
        <v>179</v>
      </c>
      <c r="C4" s="8" t="s">
        <v>180</v>
      </c>
      <c r="D4" s="8" t="s">
        <v>181</v>
      </c>
    </row>
    <row r="5" customFormat="false" ht="15" hidden="false" customHeight="false" outlineLevel="0" collapsed="false">
      <c r="A5" s="0" t="s">
        <v>91</v>
      </c>
      <c r="B5" s="5" t="n">
        <f aca="false">Assumptions!B56</f>
        <v>250000</v>
      </c>
      <c r="C5" s="43" t="n">
        <f aca="false">Assumptions!C56</f>
        <v>0.3125</v>
      </c>
      <c r="D5" s="15" t="s">
        <v>182</v>
      </c>
    </row>
    <row r="6" customFormat="false" ht="15" hidden="false" customHeight="false" outlineLevel="0" collapsed="false">
      <c r="A6" s="0" t="s">
        <v>92</v>
      </c>
      <c r="B6" s="5" t="n">
        <f aca="false">Assumptions!B57</f>
        <v>180000</v>
      </c>
      <c r="C6" s="43" t="n">
        <f aca="false">Assumptions!C57</f>
        <v>0.225</v>
      </c>
      <c r="D6" s="15" t="s">
        <v>183</v>
      </c>
    </row>
    <row r="7" customFormat="false" ht="15" hidden="false" customHeight="false" outlineLevel="0" collapsed="false">
      <c r="A7" s="0" t="s">
        <v>93</v>
      </c>
      <c r="B7" s="5" t="n">
        <f aca="false">Assumptions!B58</f>
        <v>120000</v>
      </c>
      <c r="C7" s="43" t="n">
        <f aca="false">Assumptions!C58</f>
        <v>0.15</v>
      </c>
      <c r="D7" s="15" t="s">
        <v>184</v>
      </c>
    </row>
    <row r="8" customFormat="false" ht="15" hidden="false" customHeight="false" outlineLevel="0" collapsed="false">
      <c r="A8" s="0" t="s">
        <v>94</v>
      </c>
      <c r="B8" s="5" t="n">
        <f aca="false">Assumptions!B59</f>
        <v>100000</v>
      </c>
      <c r="C8" s="43" t="n">
        <f aca="false">Assumptions!C59</f>
        <v>0.125</v>
      </c>
      <c r="D8" s="15" t="s">
        <v>185</v>
      </c>
    </row>
    <row r="9" customFormat="false" ht="15" hidden="false" customHeight="false" outlineLevel="0" collapsed="false">
      <c r="A9" s="0" t="s">
        <v>95</v>
      </c>
      <c r="B9" s="5" t="n">
        <f aca="false">Assumptions!B60</f>
        <v>60000</v>
      </c>
      <c r="C9" s="43" t="n">
        <f aca="false">Assumptions!C60</f>
        <v>0.075</v>
      </c>
      <c r="D9" s="15" t="s">
        <v>186</v>
      </c>
    </row>
    <row r="10" customFormat="false" ht="15" hidden="false" customHeight="false" outlineLevel="0" collapsed="false">
      <c r="A10" s="0" t="s">
        <v>96</v>
      </c>
      <c r="B10" s="5" t="n">
        <f aca="false">Assumptions!B61</f>
        <v>90000</v>
      </c>
      <c r="C10" s="43" t="n">
        <f aca="false">Assumptions!C61</f>
        <v>0.1125</v>
      </c>
      <c r="D10" s="15" t="s">
        <v>187</v>
      </c>
    </row>
    <row r="11" customFormat="false" ht="15" hidden="false" customHeight="false" outlineLevel="0" collapsed="false">
      <c r="A11" s="21" t="s">
        <v>188</v>
      </c>
      <c r="B11" s="22" t="n">
        <f aca="false">Assumptions!B62</f>
        <v>800000</v>
      </c>
      <c r="C11" s="23" t="n">
        <v>1</v>
      </c>
    </row>
    <row r="14" customFormat="false" ht="15" hidden="false" customHeight="false" outlineLevel="0" collapsed="false">
      <c r="A14" s="3" t="s">
        <v>189</v>
      </c>
      <c r="B14" s="3"/>
      <c r="C14" s="3"/>
    </row>
    <row r="15" customFormat="false" ht="15" hidden="false" customHeight="false" outlineLevel="0" collapsed="false">
      <c r="A15" s="37" t="s">
        <v>190</v>
      </c>
      <c r="B15" s="37" t="s">
        <v>191</v>
      </c>
      <c r="C15" s="37" t="s">
        <v>192</v>
      </c>
    </row>
    <row r="16" customFormat="false" ht="15" hidden="false" customHeight="false" outlineLevel="0" collapsed="false">
      <c r="A16" s="0" t="s">
        <v>193</v>
      </c>
      <c r="B16" s="19" t="n">
        <v>800000</v>
      </c>
      <c r="C16" s="15" t="s">
        <v>194</v>
      </c>
    </row>
    <row r="17" customFormat="false" ht="15" hidden="false" customHeight="false" outlineLevel="0" collapsed="false">
      <c r="A17" s="0" t="s">
        <v>195</v>
      </c>
      <c r="B17" s="19" t="n">
        <v>3000000</v>
      </c>
      <c r="C17" s="15" t="s">
        <v>196</v>
      </c>
    </row>
    <row r="19" customFormat="false" ht="15" hidden="false" customHeight="false" outlineLevel="0" collapsed="false">
      <c r="A19" s="9" t="s">
        <v>197</v>
      </c>
    </row>
    <row r="20" customFormat="false" ht="15" hidden="false" customHeight="false" outlineLevel="0" collapsed="false">
      <c r="A20" s="0" t="s">
        <v>198</v>
      </c>
    </row>
    <row r="21" customFormat="false" ht="15" hidden="false" customHeight="false" outlineLevel="0" collapsed="false">
      <c r="A21" s="0" t="s">
        <v>199</v>
      </c>
    </row>
    <row r="22" customFormat="false" ht="15" hidden="false" customHeight="false" outlineLevel="0" collapsed="false">
      <c r="A22" s="0" t="s">
        <v>200</v>
      </c>
    </row>
    <row r="23" customFormat="false" ht="15" hidden="false" customHeight="false" outlineLevel="0" collapsed="false">
      <c r="A23" s="0" t="s">
        <v>201</v>
      </c>
    </row>
  </sheetData>
  <mergeCells count="3">
    <mergeCell ref="A1:D1"/>
    <mergeCell ref="A3:D3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2026-10-11T03:38:26Z</dcterms:created>
  <dc:creator>openpyxl</dc:creator>
  <dc:description/>
  <dc:language>en-US</dc:language>
  <cp:lastModifiedBy/>
  <dcterms:modified xsi:type="dcterms:W3CDTF">2026-10-11T03:38:26Z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